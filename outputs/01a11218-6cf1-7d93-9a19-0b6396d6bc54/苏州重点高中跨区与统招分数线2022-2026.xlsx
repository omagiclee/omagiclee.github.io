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6f4426e9346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五年对照" sheetId="1" r:id="Rb5fdda4e86574e6c"/>
    <x:sheet xmlns:r="http://schemas.openxmlformats.org/officeDocument/2006/relationships" name="数据与来源" sheetId="2" r:id="R5c6d960daa3c41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+0;-0;0"/>
  </x:numFmts>
  <x:fonts count="9">
    <x:font>
      <x:sz val="11"/>
      <x:name val="Carlito"/>
    </x:font>
    <x:font>
      <x:sz val="11"/>
      <x:color rgb="FF202B3B"/>
      <x:name val="Arial"/>
    </x:font>
    <x:font>
      <x:b/>
      <x:sz val="16"/>
      <x:color rgb="FF23395B"/>
      <x:name val="Arial"/>
    </x:font>
    <x:font>
      <x:i/>
      <x:sz val="10"/>
      <x:color rgb="FF596579"/>
      <x:name val="Arial"/>
    </x:font>
    <x:font>
      <x:sz val="10"/>
      <x:color rgb="FF202B3B"/>
      <x:name val="Arial"/>
    </x:font>
    <x:font>
      <x:b/>
      <x:sz val="10"/>
      <x:color rgb="FFFFFFFF"/>
      <x:name val="Arial"/>
    </x:font>
    <x:font>
      <x:b/>
      <x:sz val="10"/>
      <x:color rgb="FF23395B"/>
      <x:name val="Arial"/>
    </x:font>
    <x:font>
      <x:b/>
      <x:sz val="11"/>
      <x:color rgb="FF23395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95B"/>
      </x:patternFill>
    </x:fill>
    <x:fill>
      <x:patternFill patternType="solid">
        <x:fgColor rgb="FFE4E9F1"/>
      </x:patternFill>
    </x:fill>
    <x:fill>
      <x:patternFill patternType="solid">
        <x:fgColor rgb="FFF2F5F9"/>
      </x:patternFill>
    </x:fill>
  </x:fills>
  <x:borders count="2">
    <x:border/>
    <x:border>
      <x:bottom style="thin">
        <x:color rgb="FFA9B4C5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right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color rgb="FF89550A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887d139f841ab" /><Relationship Type="http://schemas.openxmlformats.org/officeDocument/2006/relationships/theme" Target="/xl/theme/theme1.xml" Id="R1c53bb9791f246bf" /><Relationship Type="http://schemas.openxmlformats.org/officeDocument/2006/relationships/sharedStrings" Target="/xl/sharedStrings.xml" Id="Red7fe107016546e4" /><Relationship Type="http://schemas.openxmlformats.org/officeDocument/2006/relationships/worksheet" Target="/xl/worksheets/sheet1.xml" Id="Rb5fdda4e86574e6c" /><Relationship Type="http://schemas.openxmlformats.org/officeDocument/2006/relationships/worksheet" Target="/xl/worksheets/sheet2.xml" Id="R5c6d960daa3c41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95B"/>
  </x:sheetPr>
  <x:sheetViews>
    <x:sheetView showGridLines="0" workbookViewId="0"/>
  </x:sheetViews>
  <x:sheetFormatPr defaultRowHeight="15"/>
  <x:cols>
    <x:col min="1" max="1" width="3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23" customHeight="1">
      <x:c r="A1" s="2"/>
      <x:c r="B1" s="3"/>
      <x:c r="C1" s="3"/>
      <x:c r="D1" s="3"/>
      <x:c r="E1" s="3"/>
      <x:c r="F1" s="3"/>
    </x:row>
    <x:row r="2" ht="23" customHeight="1">
      <x:c r="A2" s="5" t="str">
        <x:v>苏州10所重点高中录取分数线（2022—2026）</x:v>
      </x:c>
      <x:c r="B2" s="6"/>
      <x:c r="C2" s="6"/>
      <x:c r="D2" s="6"/>
      <x:c r="E2" s="6"/>
      <x:c r="F2" s="6"/>
    </x:row>
    <x:row r="3" ht="23" customHeight="1">
      <x:c r="A3" s="7" t="str">
        <x:v>普通统招口径。星海按两校区列出，共11行，不代表官方排名。</x:v>
      </x:c>
      <x:c r="B3" s="3"/>
      <x:c r="C3" s="3"/>
      <x:c r="D3" s="3"/>
      <x:c r="E3" s="3"/>
      <x:c r="F3" s="3"/>
    </x:row>
    <x:row r="4" ht="23" customHeight="1">
      <x:c r="A4" s="7" t="str">
        <x:v>2022年跨区未开展。* 年份含转载数字；2022木渎有官方结果页，逐项来源见第二页。</x:v>
      </x:c>
      <x:c r="B4" s="3"/>
      <x:c r="C4" s="3"/>
      <x:c r="D4" s="3"/>
      <x:c r="E4" s="3"/>
      <x:c r="F4" s="3"/>
    </x:row>
    <x:row r="5" ht="23" customHeight="1">
      <x:c r="A5" s="18" t="str">
        <x:v>跨区录取总分线（分）</x:v>
      </x:c>
      <x:c r="B5" s="3"/>
      <x:c r="C5" s="3"/>
      <x:c r="D5" s="3"/>
      <x:c r="E5" s="3"/>
      <x:c r="F5" s="3"/>
    </x:row>
    <x:row r="6" ht="23" customHeight="1">
      <x:c r="A6" s="23" t="str">
        <x:v>学校／校区</x:v>
      </x:c>
      <x:c r="B6" s="23" t="str">
        <x:v>2022 *</x:v>
      </x:c>
      <x:c r="C6" s="23" t="str">
        <x:v>2023 *</x:v>
      </x:c>
      <x:c r="D6" s="23" t="n">
        <x:v>2024</x:v>
      </x:c>
      <x:c r="E6" s="23" t="n">
        <x:v>2025</x:v>
      </x:c>
      <x:c r="F6" s="23" t="n">
        <x:v>2026</x:v>
      </x:c>
    </x:row>
    <x:row r="7" ht="23" customHeight="1">
      <x:c r="A7" s="2" t="str">
        <x:v>苏州中学（本部）</x:v>
      </x:c>
      <x:c r="B7" s="26" t="str">
        <x:f>'数据与来源'!D2</x:f>
        <x:v>未开展</x:v>
      </x:c>
      <x:c r="C7" s="26" t="n">
        <x:f>'数据与来源'!D13</x:f>
        <x:v>701</x:v>
      </x:c>
      <x:c r="D7" s="26" t="n">
        <x:f>'数据与来源'!D24</x:f>
        <x:v>697</x:v>
      </x:c>
      <x:c r="E7" s="26" t="n">
        <x:f>'数据与来源'!D35</x:f>
        <x:v>701</x:v>
      </x:c>
      <x:c r="F7" s="26" t="n">
        <x:f>'数据与来源'!D46</x:f>
        <x:v>698</x:v>
      </x:c>
    </x:row>
    <x:row r="8" ht="23" customHeight="1">
      <x:c r="A8" s="24" t="str">
        <x:v>星海（苏茜路）</x:v>
      </x:c>
      <x:c r="B8" s="27" t="str">
        <x:f>'数据与来源'!D3</x:f>
        <x:v>未开展</x:v>
      </x:c>
      <x:c r="C8" s="27" t="n">
        <x:f>'数据与来源'!D14</x:f>
        <x:v>694</x:v>
      </x:c>
      <x:c r="D8" s="27" t="n">
        <x:f>'数据与来源'!D25</x:f>
        <x:v>688</x:v>
      </x:c>
      <x:c r="E8" s="27" t="n">
        <x:f>'数据与来源'!D36</x:f>
        <x:v>696</x:v>
      </x:c>
      <x:c r="F8" s="27" t="n">
        <x:f>'数据与来源'!D47</x:f>
        <x:v>697</x:v>
      </x:c>
    </x:row>
    <x:row r="9" ht="23" customHeight="1">
      <x:c r="A9" s="2" t="str">
        <x:v>星海（沈浒路）</x:v>
      </x:c>
      <x:c r="B9" s="26" t="str">
        <x:f>'数据与来源'!D4</x:f>
        <x:v>未开展</x:v>
      </x:c>
      <x:c r="C9" s="26" t="n">
        <x:f>'数据与来源'!D15</x:f>
        <x:v>689</x:v>
      </x:c>
      <x:c r="D9" s="26" t="n">
        <x:f>'数据与来源'!D26</x:f>
        <x:v>683</x:v>
      </x:c>
      <x:c r="E9" s="26" t="n">
        <x:f>'数据与来源'!D37</x:f>
        <x:v>688</x:v>
      </x:c>
      <x:c r="F9" s="26" t="n">
        <x:f>'数据与来源'!D48</x:f>
        <x:v>690</x:v>
      </x:c>
    </x:row>
    <x:row r="10" ht="23" customHeight="1">
      <x:c r="A10" s="24" t="str">
        <x:v>苏州实验（本部）</x:v>
      </x:c>
      <x:c r="B10" s="27" t="str">
        <x:f>'数据与来源'!D5</x:f>
        <x:v>未开展</x:v>
      </x:c>
      <x:c r="C10" s="27" t="n">
        <x:f>'数据与来源'!D16</x:f>
        <x:v>695</x:v>
      </x:c>
      <x:c r="D10" s="27" t="n">
        <x:f>'数据与来源'!D27</x:f>
        <x:v>688</x:v>
      </x:c>
      <x:c r="E10" s="27" t="n">
        <x:f>'数据与来源'!D38</x:f>
        <x:v>694</x:v>
      </x:c>
      <x:c r="F10" s="27" t="n">
        <x:f>'数据与来源'!D49</x:f>
        <x:v>693</x:v>
      </x:c>
    </x:row>
    <x:row r="11" ht="23" customHeight="1">
      <x:c r="A11" s="2" t="str">
        <x:v>西交大附中（方洲路）</x:v>
      </x:c>
      <x:c r="B11" s="26" t="str">
        <x:f>'数据与来源'!D6</x:f>
        <x:v>未开展</x:v>
      </x:c>
      <x:c r="C11" s="26" t="n">
        <x:f>'数据与来源'!D17</x:f>
        <x:v>685</x:v>
      </x:c>
      <x:c r="D11" s="26" t="n">
        <x:f>'数据与来源'!D28</x:f>
        <x:v>678</x:v>
      </x:c>
      <x:c r="E11" s="26" t="n">
        <x:f>'数据与来源'!D39</x:f>
        <x:v>683</x:v>
      </x:c>
      <x:c r="F11" s="26" t="n">
        <x:f>'数据与来源'!D50</x:f>
        <x:v>684</x:v>
      </x:c>
    </x:row>
    <x:row r="12" ht="23" customHeight="1">
      <x:c r="A12" s="24" t="str">
        <x:v>苏州中学园区校</x:v>
      </x:c>
      <x:c r="B12" s="27" t="str">
        <x:f>'数据与来源'!D7</x:f>
        <x:v>未开展</x:v>
      </x:c>
      <x:c r="C12" s="27" t="n">
        <x:f>'数据与来源'!D18</x:f>
        <x:v>697</x:v>
      </x:c>
      <x:c r="D12" s="27" t="n">
        <x:f>'数据与来源'!D29</x:f>
        <x:v>691</x:v>
      </x:c>
      <x:c r="E12" s="27" t="n">
        <x:f>'数据与来源'!D40</x:f>
        <x:v>688</x:v>
      </x:c>
      <x:c r="F12" s="27" t="n">
        <x:f>'数据与来源'!D51</x:f>
        <x:v>691</x:v>
      </x:c>
    </x:row>
    <x:row r="13" ht="23" customHeight="1">
      <x:c r="A13" s="2" t="str">
        <x:v>震泽中学（本部）</x:v>
      </x:c>
      <x:c r="B13" s="26" t="str">
        <x:f>'数据与来源'!D8</x:f>
        <x:v>未开展</x:v>
      </x:c>
      <x:c r="C13" s="26" t="n">
        <x:f>'数据与来源'!D19</x:f>
        <x:v>680</x:v>
      </x:c>
      <x:c r="D13" s="26" t="n">
        <x:f>'数据与来源'!D30</x:f>
        <x:v>673</x:v>
      </x:c>
      <x:c r="E13" s="26" t="n">
        <x:f>'数据与来源'!D41</x:f>
        <x:v>676</x:v>
      </x:c>
      <x:c r="F13" s="26" t="n">
        <x:f>'数据与来源'!D52</x:f>
        <x:v>679</x:v>
      </x:c>
    </x:row>
    <x:row r="14" ht="23" customHeight="1">
      <x:c r="A14" s="24" t="str">
        <x:v>木渎高中</x:v>
      </x:c>
      <x:c r="B14" s="27" t="str">
        <x:f>'数据与来源'!D9</x:f>
        <x:v>未开展</x:v>
      </x:c>
      <x:c r="C14" s="27" t="n">
        <x:f>'数据与来源'!D20</x:f>
        <x:v>685</x:v>
      </x:c>
      <x:c r="D14" s="27" t="n">
        <x:f>'数据与来源'!D31</x:f>
        <x:v>677</x:v>
      </x:c>
      <x:c r="E14" s="27" t="n">
        <x:f>'数据与来源'!D42</x:f>
        <x:v>683</x:v>
      </x:c>
      <x:c r="F14" s="27" t="n">
        <x:f>'数据与来源'!D53</x:f>
        <x:v>679</x:v>
      </x:c>
    </x:row>
    <x:row r="15" ht="23" customHeight="1">
      <x:c r="A15" s="2" t="str">
        <x:v>苏大附中</x:v>
      </x:c>
      <x:c r="B15" s="26" t="str">
        <x:f>'数据与来源'!D10</x:f>
        <x:v>未开展</x:v>
      </x:c>
      <x:c r="C15" s="26" t="n">
        <x:f>'数据与来源'!D21</x:f>
        <x:v>675</x:v>
      </x:c>
      <x:c r="D15" s="26" t="n">
        <x:f>'数据与来源'!D32</x:f>
        <x:v>666</x:v>
      </x:c>
      <x:c r="E15" s="26" t="n">
        <x:f>'数据与来源'!D43</x:f>
        <x:v>675</x:v>
      </x:c>
      <x:c r="F15" s="26" t="n">
        <x:f>'数据与来源'!D54</x:f>
        <x:v>675</x:v>
      </x:c>
    </x:row>
    <x:row r="16" ht="23" customHeight="1">
      <x:c r="A16" s="24" t="str">
        <x:v>新区一中（本部）</x:v>
      </x:c>
      <x:c r="B16" s="27" t="str">
        <x:f>'数据与来源'!D11</x:f>
        <x:v>未开展</x:v>
      </x:c>
      <x:c r="C16" s="27" t="n">
        <x:f>'数据与来源'!D22</x:f>
        <x:v>662</x:v>
      </x:c>
      <x:c r="D16" s="27" t="n">
        <x:f>'数据与来源'!D33</x:f>
        <x:v>651</x:v>
      </x:c>
      <x:c r="E16" s="27" t="n">
        <x:f>'数据与来源'!D44</x:f>
        <x:v>660</x:v>
      </x:c>
      <x:c r="F16" s="27" t="n">
        <x:f>'数据与来源'!D55</x:f>
        <x:v>663</x:v>
      </x:c>
    </x:row>
    <x:row r="17" ht="23" customHeight="1">
      <x:c r="A17" s="2" t="str">
        <x:v>苏州十中（本部）</x:v>
      </x:c>
      <x:c r="B17" s="26" t="str">
        <x:f>'数据与来源'!D12</x:f>
        <x:v>未开展</x:v>
      </x:c>
      <x:c r="C17" s="26" t="n">
        <x:f>'数据与来源'!D23</x:f>
        <x:v>665</x:v>
      </x:c>
      <x:c r="D17" s="26" t="n">
        <x:f>'数据与来源'!D34</x:f>
        <x:v>655</x:v>
      </x:c>
      <x:c r="E17" s="26" t="n">
        <x:f>'数据与来源'!D45</x:f>
        <x:v>663</x:v>
      </x:c>
      <x:c r="F17" s="26" t="n">
        <x:f>'数据与来源'!D56</x:f>
        <x:v>660</x:v>
      </x:c>
    </x:row>
    <x:row r="18" ht="23" customHeight="1">
      <x:c r="A18" s="2"/>
      <x:c r="B18" s="3"/>
      <x:c r="C18" s="3"/>
      <x:c r="D18" s="3"/>
      <x:c r="E18" s="3"/>
      <x:c r="F18" s="3"/>
    </x:row>
    <x:row r="19" ht="23" customHeight="1">
      <x:c r="A19" s="2"/>
      <x:c r="B19" s="3"/>
      <x:c r="C19" s="3"/>
      <x:c r="D19" s="3"/>
      <x:c r="E19" s="3"/>
      <x:c r="F19" s="3"/>
    </x:row>
    <x:row r="20" ht="23" customHeight="1">
      <x:c r="A20" s="18" t="str">
        <x:v>区域内普通统招总分线（分）</x:v>
      </x:c>
      <x:c r="B20" s="3"/>
      <x:c r="C20" s="3"/>
      <x:c r="D20" s="3"/>
      <x:c r="E20" s="3"/>
      <x:c r="F20" s="3"/>
    </x:row>
    <x:row r="21" ht="23" customHeight="1">
      <x:c r="A21" s="23" t="str">
        <x:v>学校／校区</x:v>
      </x:c>
      <x:c r="B21" s="23" t="str">
        <x:v>2022 *</x:v>
      </x:c>
      <x:c r="C21" s="23" t="str">
        <x:v>2023 *</x:v>
      </x:c>
      <x:c r="D21" s="23" t="n">
        <x:v>2024</x:v>
      </x:c>
      <x:c r="E21" s="23" t="n">
        <x:v>2025</x:v>
      </x:c>
      <x:c r="F21" s="23" t="n">
        <x:v>2026</x:v>
      </x:c>
    </x:row>
    <x:row r="22" ht="23" customHeight="1">
      <x:c r="A22" s="2" t="str">
        <x:v>苏州中学（本部）</x:v>
      </x:c>
      <x:c r="B22" s="26" t="n">
        <x:f>'数据与来源'!E2</x:f>
        <x:v>678</x:v>
      </x:c>
      <x:c r="C22" s="26" t="n">
        <x:f>'数据与来源'!E13</x:f>
        <x:v>691</x:v>
      </x:c>
      <x:c r="D22" s="26" t="n">
        <x:f>'数据与来源'!E24</x:f>
        <x:v>684</x:v>
      </x:c>
      <x:c r="E22" s="26" t="n">
        <x:f>'数据与来源'!E35</x:f>
        <x:v>693</x:v>
      </x:c>
      <x:c r="F22" s="26" t="n">
        <x:f>'数据与来源'!E46</x:f>
        <x:v>690</x:v>
      </x:c>
    </x:row>
    <x:row r="23" ht="23" customHeight="1">
      <x:c r="A23" s="24" t="str">
        <x:v>星海（苏茜路）</x:v>
      </x:c>
      <x:c r="B23" s="27" t="n">
        <x:f>'数据与来源'!E3</x:f>
        <x:v>674</x:v>
      </x:c>
      <x:c r="C23" s="27" t="n">
        <x:f>'数据与来源'!E14</x:f>
        <x:v>680</x:v>
      </x:c>
      <x:c r="D23" s="27" t="n">
        <x:f>'数据与来源'!E25</x:f>
        <x:v>678</x:v>
      </x:c>
      <x:c r="E23" s="27" t="n">
        <x:f>'数据与来源'!E36</x:f>
        <x:v>687</x:v>
      </x:c>
      <x:c r="F23" s="27" t="n">
        <x:f>'数据与来源'!E47</x:f>
        <x:v>686</x:v>
      </x:c>
    </x:row>
    <x:row r="24" ht="23" customHeight="1">
      <x:c r="A24" s="2" t="str">
        <x:v>星海（沈浒路）</x:v>
      </x:c>
      <x:c r="B24" s="26" t="n">
        <x:f>'数据与来源'!E4</x:f>
        <x:v>664</x:v>
      </x:c>
      <x:c r="C24" s="26" t="n">
        <x:f>'数据与来源'!E15</x:f>
        <x:v>664</x:v>
      </x:c>
      <x:c r="D24" s="26" t="n">
        <x:f>'数据与来源'!E26</x:f>
        <x:v>667</x:v>
      </x:c>
      <x:c r="E24" s="26" t="n">
        <x:f>'数据与来源'!E37</x:f>
        <x:v>678</x:v>
      </x:c>
      <x:c r="F24" s="26" t="n">
        <x:f>'数据与来源'!E48</x:f>
        <x:v>679</x:v>
      </x:c>
    </x:row>
    <x:row r="25" ht="23" customHeight="1">
      <x:c r="A25" s="24" t="str">
        <x:v>苏州实验（本部）</x:v>
      </x:c>
      <x:c r="B25" s="27" t="n">
        <x:f>'数据与来源'!E5</x:f>
        <x:v>669</x:v>
      </x:c>
      <x:c r="C25" s="27" t="n">
        <x:f>'数据与来源'!E16</x:f>
        <x:v>676</x:v>
      </x:c>
      <x:c r="D25" s="27" t="n">
        <x:f>'数据与来源'!E27</x:f>
        <x:v>674</x:v>
      </x:c>
      <x:c r="E25" s="27" t="n">
        <x:f>'数据与来源'!E38</x:f>
        <x:v>681</x:v>
      </x:c>
      <x:c r="F25" s="27" t="n">
        <x:f>'数据与来源'!E49</x:f>
        <x:v>681</x:v>
      </x:c>
    </x:row>
    <x:row r="26" ht="23" customHeight="1">
      <x:c r="A26" s="2" t="str">
        <x:v>西交大附中（方洲路）</x:v>
      </x:c>
      <x:c r="B26" s="26" t="n">
        <x:f>'数据与来源'!E6</x:f>
        <x:v>660</x:v>
      </x:c>
      <x:c r="C26" s="26" t="n">
        <x:f>'数据与来源'!E17</x:f>
        <x:v>667</x:v>
      </x:c>
      <x:c r="D26" s="26" t="n">
        <x:f>'数据与来源'!E28</x:f>
        <x:v>666</x:v>
      </x:c>
      <x:c r="E26" s="26" t="n">
        <x:f>'数据与来源'!E39</x:f>
        <x:v>674</x:v>
      </x:c>
      <x:c r="F26" s="26" t="n">
        <x:f>'数据与来源'!E50</x:f>
        <x:v>675</x:v>
      </x:c>
    </x:row>
    <x:row r="27" ht="23" customHeight="1">
      <x:c r="A27" s="24" t="str">
        <x:v>苏州中学园区校</x:v>
      </x:c>
      <x:c r="B27" s="27" t="n">
        <x:f>'数据与来源'!E7</x:f>
        <x:v>667</x:v>
      </x:c>
      <x:c r="C27" s="27" t="n">
        <x:f>'数据与来源'!E18</x:f>
        <x:v>682</x:v>
      </x:c>
      <x:c r="D27" s="27" t="n">
        <x:f>'数据与来源'!E29</x:f>
        <x:v>681</x:v>
      </x:c>
      <x:c r="E27" s="27" t="n">
        <x:f>'数据与来源'!E40</x:f>
        <x:v>683</x:v>
      </x:c>
      <x:c r="F27" s="27" t="n">
        <x:f>'数据与来源'!E51</x:f>
        <x:v>682</x:v>
      </x:c>
    </x:row>
    <x:row r="28" ht="23" customHeight="1">
      <x:c r="A28" s="2" t="str">
        <x:v>震泽中学（本部）</x:v>
      </x:c>
      <x:c r="B28" s="26" t="n">
        <x:f>'数据与来源'!E8</x:f>
        <x:v>649</x:v>
      </x:c>
      <x:c r="C28" s="26" t="n">
        <x:f>'数据与来源'!E19</x:f>
        <x:v>644</x:v>
      </x:c>
      <x:c r="D28" s="26" t="n">
        <x:f>'数据与来源'!E30</x:f>
        <x:v>653</x:v>
      </x:c>
      <x:c r="E28" s="26" t="n">
        <x:f>'数据与来源'!E41</x:f>
        <x:v>655</x:v>
      </x:c>
      <x:c r="F28" s="26" t="n">
        <x:f>'数据与来源'!E52</x:f>
        <x:v>665</x:v>
      </x:c>
    </x:row>
    <x:row r="29" ht="23" customHeight="1">
      <x:c r="A29" s="24" t="str">
        <x:v>木渎高中</x:v>
      </x:c>
      <x:c r="B29" s="27" t="n">
        <x:f>'数据与来源'!E9</x:f>
        <x:v>647</x:v>
      </x:c>
      <x:c r="C29" s="27" t="n">
        <x:f>'数据与来源'!E20</x:f>
        <x:v>655</x:v>
      </x:c>
      <x:c r="D29" s="27" t="n">
        <x:f>'数据与来源'!E31</x:f>
        <x:v>658</x:v>
      </x:c>
      <x:c r="E29" s="27" t="n">
        <x:f>'数据与来源'!E42</x:f>
        <x:v>664</x:v>
      </x:c>
      <x:c r="F29" s="27" t="n">
        <x:f>'数据与来源'!E53</x:f>
        <x:v>665</x:v>
      </x:c>
    </x:row>
    <x:row r="30" ht="23" customHeight="1">
      <x:c r="A30" s="2" t="str">
        <x:v>苏大附中</x:v>
      </x:c>
      <x:c r="B30" s="26" t="n">
        <x:f>'数据与来源'!E10</x:f>
        <x:v>649</x:v>
      </x:c>
      <x:c r="C30" s="26" t="n">
        <x:f>'数据与来源'!E21</x:f>
        <x:v>652</x:v>
      </x:c>
      <x:c r="D30" s="26" t="n">
        <x:f>'数据与来源'!E32</x:f>
        <x:v>660</x:v>
      </x:c>
      <x:c r="E30" s="26" t="n">
        <x:f>'数据与来源'!E43</x:f>
        <x:v>669</x:v>
      </x:c>
      <x:c r="F30" s="26" t="n">
        <x:f>'数据与来源'!E54</x:f>
        <x:v>668</x:v>
      </x:c>
    </x:row>
    <x:row r="31" ht="23" customHeight="1">
      <x:c r="A31" s="24" t="str">
        <x:v>新区一中（本部）</x:v>
      </x:c>
      <x:c r="B31" s="27" t="n">
        <x:f>'数据与来源'!E11</x:f>
        <x:v>640</x:v>
      </x:c>
      <x:c r="C31" s="27" t="n">
        <x:f>'数据与来源'!E22</x:f>
        <x:v>642</x:v>
      </x:c>
      <x:c r="D31" s="27" t="n">
        <x:f>'数据与来源'!E33</x:f>
        <x:v>650</x:v>
      </x:c>
      <x:c r="E31" s="27" t="n">
        <x:f>'数据与来源'!E44</x:f>
        <x:v>658</x:v>
      </x:c>
      <x:c r="F31" s="27" t="n">
        <x:f>'数据与来源'!E55</x:f>
        <x:v>657</x:v>
      </x:c>
    </x:row>
    <x:row r="32" ht="23" customHeight="1">
      <x:c r="A32" s="2" t="str">
        <x:v>苏州十中（本部）</x:v>
      </x:c>
      <x:c r="B32" s="26" t="n">
        <x:f>'数据与来源'!E12</x:f>
        <x:v>644</x:v>
      </x:c>
      <x:c r="C32" s="26" t="n">
        <x:f>'数据与来源'!E23</x:f>
        <x:v>644</x:v>
      </x:c>
      <x:c r="D32" s="26" t="n">
        <x:f>'数据与来源'!E34</x:f>
        <x:v>651</x:v>
      </x:c>
      <x:c r="E32" s="26" t="n">
        <x:f>'数据与来源'!E45</x:f>
        <x:v>652</x:v>
      </x:c>
      <x:c r="F32" s="26" t="n">
        <x:f>'数据与来源'!E56</x:f>
        <x:v>650</x:v>
      </x:c>
    </x:row>
    <x:row r="33" ht="23" customHeight="1">
      <x:c r="A33" s="2"/>
      <x:c r="B33" s="3"/>
      <x:c r="C33" s="3"/>
      <x:c r="D33" s="3"/>
      <x:c r="E33" s="3"/>
      <x:c r="F33" s="3"/>
    </x:row>
    <x:row r="34" ht="23" customHeight="1">
      <x:c r="A34" s="2"/>
      <x:c r="B34" s="3"/>
      <x:c r="C34" s="3"/>
      <x:c r="D34" s="3"/>
      <x:c r="E34" s="3"/>
      <x:c r="F34" s="3"/>
    </x:row>
    <x:row r="35" ht="23" customHeight="1">
      <x:c r="A35" s="18" t="str">
        <x:v>跨区线减区域内统招线（分）</x:v>
      </x:c>
      <x:c r="B35" s="3"/>
      <x:c r="C35" s="3"/>
      <x:c r="D35" s="3"/>
      <x:c r="E35" s="3"/>
      <x:c r="F35" s="3"/>
    </x:row>
    <x:row r="36" ht="23" customHeight="1">
      <x:c r="A36" s="23" t="str">
        <x:v>学校／校区</x:v>
      </x:c>
      <x:c r="B36" s="23" t="str">
        <x:v>2022 *</x:v>
      </x:c>
      <x:c r="C36" s="23" t="str">
        <x:v>2023 *</x:v>
      </x:c>
      <x:c r="D36" s="23" t="n">
        <x:v>2024</x:v>
      </x:c>
      <x:c r="E36" s="23" t="n">
        <x:v>2025</x:v>
      </x:c>
      <x:c r="F36" s="23" t="n">
        <x:v>2026</x:v>
      </x:c>
    </x:row>
    <x:row r="37" ht="23" customHeight="1">
      <x:c r="A37" s="2" t="str">
        <x:v>苏州中学（本部）</x:v>
      </x:c>
      <x:c r="B37" s="28" t="str">
        <x:f>IF(AND(ISNUMBER(B7),ISNUMBER(B22)),B7-B22,"不适用")</x:f>
        <x:v>不适用</x:v>
      </x:c>
      <x:c r="C37" s="28" t="n">
        <x:f>IF(AND(ISNUMBER(C7),ISNUMBER(C22)),C7-C22,"不适用")</x:f>
        <x:v>10</x:v>
      </x:c>
      <x:c r="D37" s="28" t="n">
        <x:f>IF(AND(ISNUMBER(D7),ISNUMBER(D22)),D7-D22,"不适用")</x:f>
        <x:v>13</x:v>
      </x:c>
      <x:c r="E37" s="28" t="n">
        <x:f>IF(AND(ISNUMBER(E7),ISNUMBER(E22)),E7-E22,"不适用")</x:f>
        <x:v>8</x:v>
      </x:c>
      <x:c r="F37" s="28" t="n">
        <x:f>IF(AND(ISNUMBER(F7),ISNUMBER(F22)),F7-F22,"不适用")</x:f>
        <x:v>8</x:v>
      </x:c>
    </x:row>
    <x:row r="38" ht="23" customHeight="1">
      <x:c r="A38" s="24" t="str">
        <x:v>星海（苏茜路）</x:v>
      </x:c>
      <x:c r="B38" s="29" t="str">
        <x:f>IF(AND(ISNUMBER(B8),ISNUMBER(B23)),B8-B23,"不适用")</x:f>
        <x:v>不适用</x:v>
      </x:c>
      <x:c r="C38" s="29" t="n">
        <x:f>IF(AND(ISNUMBER(C8),ISNUMBER(C23)),C8-C23,"不适用")</x:f>
        <x:v>14</x:v>
      </x:c>
      <x:c r="D38" s="29" t="n">
        <x:f>IF(AND(ISNUMBER(D8),ISNUMBER(D23)),D8-D23,"不适用")</x:f>
        <x:v>10</x:v>
      </x:c>
      <x:c r="E38" s="29" t="n">
        <x:f>IF(AND(ISNUMBER(E8),ISNUMBER(E23)),E8-E23,"不适用")</x:f>
        <x:v>9</x:v>
      </x:c>
      <x:c r="F38" s="29" t="n">
        <x:f>IF(AND(ISNUMBER(F8),ISNUMBER(F23)),F8-F23,"不适用")</x:f>
        <x:v>11</x:v>
      </x:c>
    </x:row>
    <x:row r="39" ht="23" customHeight="1">
      <x:c r="A39" s="2" t="str">
        <x:v>星海（沈浒路）</x:v>
      </x:c>
      <x:c r="B39" s="28" t="str">
        <x:f>IF(AND(ISNUMBER(B9),ISNUMBER(B24)),B9-B24,"不适用")</x:f>
        <x:v>不适用</x:v>
      </x:c>
      <x:c r="C39" s="28" t="n">
        <x:f>IF(AND(ISNUMBER(C9),ISNUMBER(C24)),C9-C24,"不适用")</x:f>
        <x:v>25</x:v>
      </x:c>
      <x:c r="D39" s="28" t="n">
        <x:f>IF(AND(ISNUMBER(D9),ISNUMBER(D24)),D9-D24,"不适用")</x:f>
        <x:v>16</x:v>
      </x:c>
      <x:c r="E39" s="28" t="n">
        <x:f>IF(AND(ISNUMBER(E9),ISNUMBER(E24)),E9-E24,"不适用")</x:f>
        <x:v>10</x:v>
      </x:c>
      <x:c r="F39" s="28" t="n">
        <x:f>IF(AND(ISNUMBER(F9),ISNUMBER(F24)),F9-F24,"不适用")</x:f>
        <x:v>11</x:v>
      </x:c>
    </x:row>
    <x:row r="40" ht="23" customHeight="1">
      <x:c r="A40" s="24" t="str">
        <x:v>苏州实验（本部）</x:v>
      </x:c>
      <x:c r="B40" s="29" t="str">
        <x:f>IF(AND(ISNUMBER(B10),ISNUMBER(B25)),B10-B25,"不适用")</x:f>
        <x:v>不适用</x:v>
      </x:c>
      <x:c r="C40" s="29" t="n">
        <x:f>IF(AND(ISNUMBER(C10),ISNUMBER(C25)),C10-C25,"不适用")</x:f>
        <x:v>19</x:v>
      </x:c>
      <x:c r="D40" s="29" t="n">
        <x:f>IF(AND(ISNUMBER(D10),ISNUMBER(D25)),D10-D25,"不适用")</x:f>
        <x:v>14</x:v>
      </x:c>
      <x:c r="E40" s="29" t="n">
        <x:f>IF(AND(ISNUMBER(E10),ISNUMBER(E25)),E10-E25,"不适用")</x:f>
        <x:v>13</x:v>
      </x:c>
      <x:c r="F40" s="29" t="n">
        <x:f>IF(AND(ISNUMBER(F10),ISNUMBER(F25)),F10-F25,"不适用")</x:f>
        <x:v>12</x:v>
      </x:c>
    </x:row>
    <x:row r="41" ht="23" customHeight="1">
      <x:c r="A41" s="2" t="str">
        <x:v>西交大附中（方洲路）</x:v>
      </x:c>
      <x:c r="B41" s="28" t="str">
        <x:f>IF(AND(ISNUMBER(B11),ISNUMBER(B26)),B11-B26,"不适用")</x:f>
        <x:v>不适用</x:v>
      </x:c>
      <x:c r="C41" s="28" t="n">
        <x:f>IF(AND(ISNUMBER(C11),ISNUMBER(C26)),C11-C26,"不适用")</x:f>
        <x:v>18</x:v>
      </x:c>
      <x:c r="D41" s="28" t="n">
        <x:f>IF(AND(ISNUMBER(D11),ISNUMBER(D26)),D11-D26,"不适用")</x:f>
        <x:v>12</x:v>
      </x:c>
      <x:c r="E41" s="28" t="n">
        <x:f>IF(AND(ISNUMBER(E11),ISNUMBER(E26)),E11-E26,"不适用")</x:f>
        <x:v>9</x:v>
      </x:c>
      <x:c r="F41" s="28" t="n">
        <x:f>IF(AND(ISNUMBER(F11),ISNUMBER(F26)),F11-F26,"不适用")</x:f>
        <x:v>9</x:v>
      </x:c>
    </x:row>
    <x:row r="42" ht="23" customHeight="1">
      <x:c r="A42" s="24" t="str">
        <x:v>苏州中学园区校</x:v>
      </x:c>
      <x:c r="B42" s="29" t="str">
        <x:f>IF(AND(ISNUMBER(B12),ISNUMBER(B27)),B12-B27,"不适用")</x:f>
        <x:v>不适用</x:v>
      </x:c>
      <x:c r="C42" s="29" t="n">
        <x:f>IF(AND(ISNUMBER(C12),ISNUMBER(C27)),C12-C27,"不适用")</x:f>
        <x:v>15</x:v>
      </x:c>
      <x:c r="D42" s="29" t="n">
        <x:f>IF(AND(ISNUMBER(D12),ISNUMBER(D27)),D12-D27,"不适用")</x:f>
        <x:v>10</x:v>
      </x:c>
      <x:c r="E42" s="29" t="n">
        <x:f>IF(AND(ISNUMBER(E12),ISNUMBER(E27)),E12-E27,"不适用")</x:f>
        <x:v>5</x:v>
      </x:c>
      <x:c r="F42" s="29" t="n">
        <x:f>IF(AND(ISNUMBER(F12),ISNUMBER(F27)),F12-F27,"不适用")</x:f>
        <x:v>9</x:v>
      </x:c>
    </x:row>
    <x:row r="43" ht="23" customHeight="1">
      <x:c r="A43" s="2" t="str">
        <x:v>震泽中学（本部）</x:v>
      </x:c>
      <x:c r="B43" s="28" t="str">
        <x:f>IF(AND(ISNUMBER(B13),ISNUMBER(B28)),B13-B28,"不适用")</x:f>
        <x:v>不适用</x:v>
      </x:c>
      <x:c r="C43" s="28" t="n">
        <x:f>IF(AND(ISNUMBER(C13),ISNUMBER(C28)),C13-C28,"不适用")</x:f>
        <x:v>36</x:v>
      </x:c>
      <x:c r="D43" s="28" t="n">
        <x:f>IF(AND(ISNUMBER(D13),ISNUMBER(D28)),D13-D28,"不适用")</x:f>
        <x:v>20</x:v>
      </x:c>
      <x:c r="E43" s="28" t="n">
        <x:f>IF(AND(ISNUMBER(E13),ISNUMBER(E28)),E13-E28,"不适用")</x:f>
        <x:v>21</x:v>
      </x:c>
      <x:c r="F43" s="28" t="n">
        <x:f>IF(AND(ISNUMBER(F13),ISNUMBER(F28)),F13-F28,"不适用")</x:f>
        <x:v>14</x:v>
      </x:c>
    </x:row>
    <x:row r="44" ht="23" customHeight="1">
      <x:c r="A44" s="24" t="str">
        <x:v>木渎高中</x:v>
      </x:c>
      <x:c r="B44" s="29" t="str">
        <x:f>IF(AND(ISNUMBER(B14),ISNUMBER(B29)),B14-B29,"不适用")</x:f>
        <x:v>不适用</x:v>
      </x:c>
      <x:c r="C44" s="29" t="n">
        <x:f>IF(AND(ISNUMBER(C14),ISNUMBER(C29)),C14-C29,"不适用")</x:f>
        <x:v>30</x:v>
      </x:c>
      <x:c r="D44" s="29" t="n">
        <x:f>IF(AND(ISNUMBER(D14),ISNUMBER(D29)),D14-D29,"不适用")</x:f>
        <x:v>19</x:v>
      </x:c>
      <x:c r="E44" s="29" t="n">
        <x:f>IF(AND(ISNUMBER(E14),ISNUMBER(E29)),E14-E29,"不适用")</x:f>
        <x:v>19</x:v>
      </x:c>
      <x:c r="F44" s="29" t="n">
        <x:f>IF(AND(ISNUMBER(F14),ISNUMBER(F29)),F14-F29,"不适用")</x:f>
        <x:v>14</x:v>
      </x:c>
    </x:row>
    <x:row r="45" ht="23" customHeight="1">
      <x:c r="A45" s="2" t="str">
        <x:v>苏大附中</x:v>
      </x:c>
      <x:c r="B45" s="28" t="str">
        <x:f>IF(AND(ISNUMBER(B15),ISNUMBER(B30)),B15-B30,"不适用")</x:f>
        <x:v>不适用</x:v>
      </x:c>
      <x:c r="C45" s="28" t="n">
        <x:f>IF(AND(ISNUMBER(C15),ISNUMBER(C30)),C15-C30,"不适用")</x:f>
        <x:v>23</x:v>
      </x:c>
      <x:c r="D45" s="28" t="n">
        <x:f>IF(AND(ISNUMBER(D15),ISNUMBER(D30)),D15-D30,"不适用")</x:f>
        <x:v>6</x:v>
      </x:c>
      <x:c r="E45" s="28" t="n">
        <x:f>IF(AND(ISNUMBER(E15),ISNUMBER(E30)),E15-E30,"不适用")</x:f>
        <x:v>6</x:v>
      </x:c>
      <x:c r="F45" s="28" t="n">
        <x:f>IF(AND(ISNUMBER(F15),ISNUMBER(F30)),F15-F30,"不适用")</x:f>
        <x:v>7</x:v>
      </x:c>
    </x:row>
    <x:row r="46" ht="23" customHeight="1">
      <x:c r="A46" s="24" t="str">
        <x:v>新区一中（本部）</x:v>
      </x:c>
      <x:c r="B46" s="29" t="str">
        <x:f>IF(AND(ISNUMBER(B16),ISNUMBER(B31)),B16-B31,"不适用")</x:f>
        <x:v>不适用</x:v>
      </x:c>
      <x:c r="C46" s="29" t="n">
        <x:f>IF(AND(ISNUMBER(C16),ISNUMBER(C31)),C16-C31,"不适用")</x:f>
        <x:v>20</x:v>
      </x:c>
      <x:c r="D46" s="29" t="n">
        <x:f>IF(AND(ISNUMBER(D16),ISNUMBER(D31)),D16-D31,"不适用")</x:f>
        <x:v>1</x:v>
      </x:c>
      <x:c r="E46" s="29" t="n">
        <x:f>IF(AND(ISNUMBER(E16),ISNUMBER(E31)),E16-E31,"不适用")</x:f>
        <x:v>2</x:v>
      </x:c>
      <x:c r="F46" s="29" t="n">
        <x:f>IF(AND(ISNUMBER(F16),ISNUMBER(F31)),F16-F31,"不适用")</x:f>
        <x:v>6</x:v>
      </x:c>
    </x:row>
    <x:row r="47" ht="23" customHeight="1">
      <x:c r="A47" s="2" t="str">
        <x:v>苏州十中（本部）</x:v>
      </x:c>
      <x:c r="B47" s="28" t="str">
        <x:f>IF(AND(ISNUMBER(B17),ISNUMBER(B32)),B17-B32,"不适用")</x:f>
        <x:v>不适用</x:v>
      </x:c>
      <x:c r="C47" s="28" t="n">
        <x:f>IF(AND(ISNUMBER(C17),ISNUMBER(C32)),C17-C32,"不适用")</x:f>
        <x:v>21</x:v>
      </x:c>
      <x:c r="D47" s="28" t="n">
        <x:f>IF(AND(ISNUMBER(D17),ISNUMBER(D32)),D17-D32,"不适用")</x:f>
        <x:v>4</x:v>
      </x:c>
      <x:c r="E47" s="28" t="n">
        <x:f>IF(AND(ISNUMBER(E17),ISNUMBER(E32)),E17-E32,"不适用")</x:f>
        <x:v>11</x:v>
      </x:c>
      <x:c r="F47" s="28" t="n">
        <x:f>IF(AND(ISNUMBER(F17),ISNUMBER(F32)),F17-F32,"不适用")</x:f>
        <x:v>10</x:v>
      </x:c>
    </x:row>
    <x:row r="48" ht="23" customHeight="1">
      <x:c r="A48" s="2"/>
      <x:c r="B48" s="3"/>
      <x:c r="C48" s="3"/>
      <x:c r="D48" s="3"/>
      <x:c r="E48" s="3"/>
      <x:c r="F48" s="3"/>
    </x:row>
    <x:row r="49" ht="23" customHeight="1">
      <x:c r="A49" s="7" t="str">
        <x:v>区域内：震泽为吴江，木渎为吴中，其余为姑苏／园区／新区共同招生区域。</x:v>
      </x:c>
      <x:c r="B49" s="3"/>
      <x:c r="C49" s="3"/>
      <x:c r="D49" s="3"/>
      <x:c r="E49" s="3"/>
      <x:c r="F49" s="3"/>
    </x:row>
    <x:row r="50" ht="23" customHeight="1">
      <x:c r="A50" s="7" t="str">
        <x:v>总分相同的末位考生，仍需满足当年语数外同分排序要求。</x:v>
      </x:c>
      <x:c r="B50" s="3"/>
      <x:c r="C50" s="3"/>
      <x:c r="D50" s="3"/>
      <x:c r="E50" s="3"/>
      <x:c r="F50" s="3"/>
    </x:row>
    <x:row r="51" ht="23" customHeight="1">
      <x:c r="A51" s="7" t="str">
        <x:v>跨年度绝对分数受试卷难度和招生计划影响，宜比较同校同年的分差。</x:v>
      </x:c>
      <x:c r="B51" s="3"/>
      <x:c r="C51" s="3"/>
      <x:c r="D51" s="3"/>
      <x:c r="E51" s="3"/>
      <x:c r="F51" s="3"/>
    </x:row>
    <x:row r="52" ht="23" customHeight="1">
      <x:c r="A52" s="2"/>
      <x:c r="B52" s="3"/>
      <x:c r="C52" s="3"/>
      <x:c r="D52" s="3"/>
      <x:c r="E52" s="3"/>
      <x:c r="F52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35" hidden="0" customWidth="1"/>
    <x:col min="3" max="3" width="62" hidden="0" customWidth="1"/>
    <x:col min="4" max="4" width="14" hidden="0" customWidth="1"/>
    <x:col min="5" max="5" width="23" hidden="0" customWidth="1"/>
    <x:col min="6" max="6" width="21" hidden="0" customWidth="1"/>
    <x:col min="7" max="7" width="24" hidden="0" customWidth="1"/>
    <x:col min="8" max="8" width="90" hidden="0" customWidth="1"/>
    <x:col min="9" max="9" width="3" hidden="0" customWidth="1"/>
    <x:col min="10" max="10" width="118" hidden="0" customWidth="1"/>
    <x:col min="11" max="11" width="118" hidden="0" customWidth="1"/>
  </x:cols>
  <x:sheetData>
    <x:row r="1" ht="23" customHeight="1">
      <x:c r="A1" s="15" t="str">
        <x:v>年份</x:v>
      </x:c>
      <x:c r="B1" s="15" t="str">
        <x:v>学校／校区</x:v>
      </x:c>
      <x:c r="C1" s="15" t="str">
        <x:v>当年官方名称</x:v>
      </x:c>
      <x:c r="D1" s="15" t="str">
        <x:v>跨区线</x:v>
      </x:c>
      <x:c r="E1" s="15" t="str">
        <x:v>区域内普通统招线</x:v>
      </x:c>
      <x:c r="F1" s="15" t="str">
        <x:v>区域内批次</x:v>
      </x:c>
      <x:c r="G1" s="15" t="str">
        <x:v>数字来源类型</x:v>
      </x:c>
      <x:c r="H1" s="15" t="str">
        <x:v>口径说明</x:v>
      </x:c>
      <x:c r="I1" s="9" t="str"/>
      <x:c r="J1" s="17" t="str">
        <x:v>跨区来源</x:v>
      </x:c>
      <x:c r="K1" s="17" t="str">
        <x:v>区域内统招来源</x:v>
      </x:c>
    </x:row>
    <x:row r="2" ht="23" customHeight="1">
      <x:c r="A2" s="11" t="n">
        <x:v>2022</x:v>
      </x:c>
      <x:c r="B2" s="9" t="str">
        <x:v>苏州中学（本部）</x:v>
      </x:c>
      <x:c r="C2" s="9" t="str">
        <x:v>江苏省苏州中学校；本部</x:v>
      </x:c>
      <x:c r="D2" s="12" t="str">
        <x:v>未开展</x:v>
      </x:c>
      <x:c r="E2" s="12" t="n">
        <x:v>678</x:v>
      </x:c>
      <x:c r="F2" s="11" t="str">
        <x:v>提前批普通统招</x:v>
      </x:c>
      <x:c r="G2" s="9" t="str">
        <x:v>当年汇总转载</x:v>
      </x:c>
      <x:c r="H2" s="9" t="str">
        <x:v>2022年未开展六区统一跨区批次；区域内招生范围：姑苏区、工业园区、高新区</x:v>
      </x:c>
      <x:c r="I2" s="9" t="str"/>
      <x:c r="J2" s="9" t="str">
        <x:v>https://www.suzhou.gov.cn/szsrmzf/bmwj/202301/71f8c66b106f490f8b03c8b22b8708be.shtml</x:v>
      </x:c>
      <x:c r="K2" s="9" t="str">
        <x:v>https://www.suzhouhui.com/article/105438.html</x:v>
      </x:c>
    </x:row>
    <x:row r="3" ht="23" customHeight="1">
      <x:c r="A3" s="11" t="n">
        <x:v>2022</x:v>
      </x:c>
      <x:c r="B3" s="9" t="str">
        <x:v>星海（苏茜路）</x:v>
      </x:c>
      <x:c r="C3" s="9" t="str">
        <x:v>苏州工业园区星海实验中学；苏茜路校区</x:v>
      </x:c>
      <x:c r="D3" s="12" t="str">
        <x:v>未开展</x:v>
      </x:c>
      <x:c r="E3" s="12" t="n">
        <x:v>674</x:v>
      </x:c>
      <x:c r="F3" s="11" t="str">
        <x:v>第一批普通统招</x:v>
      </x:c>
      <x:c r="G3" s="9" t="str">
        <x:v>当年原表转载</x:v>
      </x:c>
      <x:c r="H3" s="9" t="str">
        <x:v>2022年未开展六区统一跨区批次；区域内招生范围：姑苏区、工业园区、高新区</x:v>
      </x:c>
      <x:c r="I3" s="9" t="str"/>
      <x:c r="J3" s="9" t="str">
        <x:v>https://www.suzhou.gov.cn/szsrmzf/bmwj/202301/71f8c66b106f490f8b03c8b22b8708be.shtml</x:v>
      </x:c>
      <x:c r="K3" s="9" t="str">
        <x:v>https://www.zhongkao.com/e/20220705/62c3dcfc6c0b5.shtml</x:v>
      </x:c>
    </x:row>
    <x:row r="4" ht="23" customHeight="1">
      <x:c r="A4" s="11" t="n">
        <x:v>2022</x:v>
      </x:c>
      <x:c r="B4" s="9" t="str">
        <x:v>星海（沈浒路）</x:v>
      </x:c>
      <x:c r="C4" s="9" t="str">
        <x:v>苏州工业园区星海实验中学；沈浒路校区</x:v>
      </x:c>
      <x:c r="D4" s="12" t="str">
        <x:v>未开展</x:v>
      </x:c>
      <x:c r="E4" s="12" t="n">
        <x:v>664</x:v>
      </x:c>
      <x:c r="F4" s="11" t="str">
        <x:v>第一批普通统招</x:v>
      </x:c>
      <x:c r="G4" s="9" t="str">
        <x:v>当年原表转载</x:v>
      </x:c>
      <x:c r="H4" s="9" t="str">
        <x:v>2022年未开展六区统一跨区批次；区域内招生范围：姑苏区、工业园区、高新区</x:v>
      </x:c>
      <x:c r="I4" s="9" t="str"/>
      <x:c r="J4" s="9" t="str">
        <x:v>https://www.suzhou.gov.cn/szsrmzf/bmwj/202301/71f8c66b106f490f8b03c8b22b8708be.shtml</x:v>
      </x:c>
      <x:c r="K4" s="9" t="str">
        <x:v>https://www.zhongkao.com/e/20220705/62c3dcfc6c0b5.shtml</x:v>
      </x:c>
    </x:row>
    <x:row r="5" ht="23" customHeight="1">
      <x:c r="A5" s="11" t="n">
        <x:v>2022</x:v>
      </x:c>
      <x:c r="B5" s="9" t="str">
        <x:v>苏州实验（本部）</x:v>
      </x:c>
      <x:c r="C5" s="9" t="str">
        <x:v>江苏省苏州实验中学；金山路校区</x:v>
      </x:c>
      <x:c r="D5" s="12" t="str">
        <x:v>未开展</x:v>
      </x:c>
      <x:c r="E5" s="12" t="n">
        <x:v>669</x:v>
      </x:c>
      <x:c r="F5" s="11" t="str">
        <x:v>第一批普通统招</x:v>
      </x:c>
      <x:c r="G5" s="9" t="str">
        <x:v>当年原表转载</x:v>
      </x:c>
      <x:c r="H5" s="9" t="str">
        <x:v>2022年未开展六区统一跨区批次；区域内招生范围：姑苏区、工业园区、高新区</x:v>
      </x:c>
      <x:c r="I5" s="9" t="str"/>
      <x:c r="J5" s="9" t="str">
        <x:v>https://www.suzhou.gov.cn/szsrmzf/bmwj/202301/71f8c66b106f490f8b03c8b22b8708be.shtml</x:v>
      </x:c>
      <x:c r="K5" s="9" t="str">
        <x:v>https://www.zhongkao.com/e/20220705/62c3dcfc6c0b5.shtml</x:v>
      </x:c>
    </x:row>
    <x:row r="6" ht="23" customHeight="1">
      <x:c r="A6" s="11" t="n">
        <x:v>2022</x:v>
      </x:c>
      <x:c r="B6" s="9" t="str">
        <x:v>西交大附中（方洲路）</x:v>
      </x:c>
      <x:c r="C6" s="9" t="str">
        <x:v>西安交通大学苏州附属中学；方洲路校区</x:v>
      </x:c>
      <x:c r="D6" s="12" t="str">
        <x:v>未开展</x:v>
      </x:c>
      <x:c r="E6" s="12" t="n">
        <x:v>660</x:v>
      </x:c>
      <x:c r="F6" s="11" t="str">
        <x:v>第一批普通统招</x:v>
      </x:c>
      <x:c r="G6" s="9" t="str">
        <x:v>当年原表转载</x:v>
      </x:c>
      <x:c r="H6" s="9" t="str">
        <x:v>2022年未开展六区统一跨区批次；区域内招生范围：姑苏区、工业园区、高新区</x:v>
      </x:c>
      <x:c r="I6" s="9" t="str"/>
      <x:c r="J6" s="9" t="str">
        <x:v>https://www.suzhou.gov.cn/szsrmzf/bmwj/202301/71f8c66b106f490f8b03c8b22b8708be.shtml</x:v>
      </x:c>
      <x:c r="K6" s="9" t="str">
        <x:v>https://www.zhongkao.com/e/20220705/62c3dcfc6c0b5.shtml</x:v>
      </x:c>
    </x:row>
    <x:row r="7" ht="23" customHeight="1">
      <x:c r="A7" s="11" t="n">
        <x:v>2022</x:v>
      </x:c>
      <x:c r="B7" s="9" t="str">
        <x:v>苏州中学园区校</x:v>
      </x:c>
      <x:c r="C7" s="9" t="str">
        <x:v>江苏省苏州中学园区校；园区校</x:v>
      </x:c>
      <x:c r="D7" s="12" t="str">
        <x:v>未开展</x:v>
      </x:c>
      <x:c r="E7" s="12" t="n">
        <x:v>667</x:v>
      </x:c>
      <x:c r="F7" s="11" t="str">
        <x:v>第一批普通统招</x:v>
      </x:c>
      <x:c r="G7" s="9" t="str">
        <x:v>当年原表转载</x:v>
      </x:c>
      <x:c r="H7" s="9" t="str">
        <x:v>2022年未开展六区统一跨区批次；区域内招生范围：姑苏区、工业园区、高新区</x:v>
      </x:c>
      <x:c r="I7" s="9" t="str"/>
      <x:c r="J7" s="9" t="str">
        <x:v>https://www.suzhou.gov.cn/szsrmzf/bmwj/202301/71f8c66b106f490f8b03c8b22b8708be.shtml</x:v>
      </x:c>
      <x:c r="K7" s="9" t="str">
        <x:v>https://www.zhongkao.com/e/20220705/62c3dcfc6c0b5.shtml</x:v>
      </x:c>
    </x:row>
    <x:row r="8" ht="23" customHeight="1">
      <x:c r="A8" s="11" t="n">
        <x:v>2022</x:v>
      </x:c>
      <x:c r="B8" s="9" t="str">
        <x:v>震泽中学（本部）</x:v>
      </x:c>
      <x:c r="C8" s="9" t="str">
        <x:v>江苏省震泽中学；本部</x:v>
      </x:c>
      <x:c r="D8" s="12" t="str">
        <x:v>未开展</x:v>
      </x:c>
      <x:c r="E8" s="12" t="n">
        <x:v>649</x:v>
      </x:c>
      <x:c r="F8" s="11" t="str">
        <x:v>第一批普通统招</x:v>
      </x:c>
      <x:c r="G8" s="9" t="str">
        <x:v>当年汇总转载</x:v>
      </x:c>
      <x:c r="H8" s="9" t="str">
        <x:v>2022年未开展六区统一跨区批次；区域内招生范围：吴江区</x:v>
      </x:c>
      <x:c r="I8" s="9" t="str"/>
      <x:c r="J8" s="9" t="str">
        <x:v>https://www.suzhou.gov.cn/szsrmzf/bmwj/202301/71f8c66b106f490f8b03c8b22b8708be.shtml</x:v>
      </x:c>
      <x:c r="K8" s="9" t="str">
        <x:v>https://www.suzhouhui.com/article/105438.html</x:v>
      </x:c>
    </x:row>
    <x:row r="9" ht="23" customHeight="1">
      <x:c r="A9" s="11" t="n">
        <x:v>2022</x:v>
      </x:c>
      <x:c r="B9" s="9" t="str">
        <x:v>木渎高中</x:v>
      </x:c>
      <x:c r="C9" s="9" t="str">
        <x:v>江苏省木渎高级中学；本部</x:v>
      </x:c>
      <x:c r="D9" s="12" t="str">
        <x:v>未开展</x:v>
      </x:c>
      <x:c r="E9" s="12" t="n">
        <x:v>647</x:v>
      </x:c>
      <x:c r="F9" s="11" t="str">
        <x:v>提前批普通统招</x:v>
      </x:c>
      <x:c r="G9" s="9" t="str">
        <x:v>官方结果页</x:v>
      </x:c>
      <x:c r="H9" s="9" t="str">
        <x:v>2022年未开展六区统一跨区批次；区域内招生范围：吴中区</x:v>
      </x:c>
      <x:c r="I9" s="9" t="str"/>
      <x:c r="J9" s="9" t="str">
        <x:v>https://www.suzhou.gov.cn/szsrmzf/bmwj/202301/71f8c66b106f490f8b03c8b22b8708be.shtml</x:v>
      </x:c>
      <x:c r="K9" s="9" t="str">
        <x:v>https://www.wxedu.net/old/zsdw/zsks/zk/content_258151</x:v>
      </x:c>
    </x:row>
    <x:row r="10" ht="23" customHeight="1">
      <x:c r="A10" s="11" t="n">
        <x:v>2022</x:v>
      </x:c>
      <x:c r="B10" s="9" t="str">
        <x:v>苏大附中</x:v>
      </x:c>
      <x:c r="C10" s="9" t="str">
        <x:v>苏州大学附属中学；本部</x:v>
      </x:c>
      <x:c r="D10" s="12" t="str">
        <x:v>未开展</x:v>
      </x:c>
      <x:c r="E10" s="12" t="n">
        <x:v>649</x:v>
      </x:c>
      <x:c r="F10" s="11" t="str">
        <x:v>第一批普通统招</x:v>
      </x:c>
      <x:c r="G10" s="9" t="str">
        <x:v>当年原表转载</x:v>
      </x:c>
      <x:c r="H10" s="9" t="str">
        <x:v>2022年未开展六区统一跨区批次；区域内招生范围：姑苏区、工业园区、高新区</x:v>
      </x:c>
      <x:c r="I10" s="9" t="str"/>
      <x:c r="J10" s="9" t="str">
        <x:v>https://www.suzhou.gov.cn/szsrmzf/bmwj/202301/71f8c66b106f490f8b03c8b22b8708be.shtml</x:v>
      </x:c>
      <x:c r="K10" s="9" t="str">
        <x:v>https://www.zhongkao.com/e/20220705/62c3dcfc6c0b5.shtml</x:v>
      </x:c>
    </x:row>
    <x:row r="11" ht="23" customHeight="1">
      <x:c r="A11" s="11" t="n">
        <x:v>2022</x:v>
      </x:c>
      <x:c r="B11" s="9" t="str">
        <x:v>新区一中（本部）</x:v>
      </x:c>
      <x:c r="C11" s="9" t="str">
        <x:v>苏州高新区第一中学；汾湖路校区</x:v>
      </x:c>
      <x:c r="D11" s="12" t="str">
        <x:v>未开展</x:v>
      </x:c>
      <x:c r="E11" s="12" t="n">
        <x:v>640</x:v>
      </x:c>
      <x:c r="F11" s="11" t="str">
        <x:v>第一批普通统招</x:v>
      </x:c>
      <x:c r="G11" s="9" t="str">
        <x:v>当年原表转载</x:v>
      </x:c>
      <x:c r="H11" s="9" t="str">
        <x:v>2022年未开展六区统一跨区批次；区域内招生范围：姑苏区、工业园区、高新区</x:v>
      </x:c>
      <x:c r="I11" s="9" t="str"/>
      <x:c r="J11" s="9" t="str">
        <x:v>https://www.suzhou.gov.cn/szsrmzf/bmwj/202301/71f8c66b106f490f8b03c8b22b8708be.shtml</x:v>
      </x:c>
      <x:c r="K11" s="9" t="str">
        <x:v>https://www.zhongkao.com/e/20220705/62c3dcfc6c0b5.shtml</x:v>
      </x:c>
    </x:row>
    <x:row r="12" ht="23" customHeight="1">
      <x:c r="A12" s="11" t="n">
        <x:v>2022</x:v>
      </x:c>
      <x:c r="B12" s="9" t="str">
        <x:v>苏州十中（本部）</x:v>
      </x:c>
      <x:c r="C12" s="9" t="str">
        <x:v>江苏省苏州第十中学校；本部</x:v>
      </x:c>
      <x:c r="D12" s="12" t="str">
        <x:v>未开展</x:v>
      </x:c>
      <x:c r="E12" s="12" t="n">
        <x:v>644</x:v>
      </x:c>
      <x:c r="F12" s="11" t="str">
        <x:v>第一批普通统招</x:v>
      </x:c>
      <x:c r="G12" s="9" t="str">
        <x:v>当年原表转载</x:v>
      </x:c>
      <x:c r="H12" s="9" t="str">
        <x:v>2022年未开展六区统一跨区批次；区域内招生范围：姑苏区、工业园区、高新区</x:v>
      </x:c>
      <x:c r="I12" s="9" t="str"/>
      <x:c r="J12" s="9" t="str">
        <x:v>https://www.suzhou.gov.cn/szsrmzf/bmwj/202301/71f8c66b106f490f8b03c8b22b8708be.shtml</x:v>
      </x:c>
      <x:c r="K12" s="9" t="str">
        <x:v>https://www.zhongkao.com/e/20220705/62c3dcfc6c0b5.shtml</x:v>
      </x:c>
    </x:row>
    <x:row r="13" ht="23" customHeight="1">
      <x:c r="A13" s="11" t="n">
        <x:v>2023</x:v>
      </x:c>
      <x:c r="B13" s="9" t="str">
        <x:v>苏州中学（本部）</x:v>
      </x:c>
      <x:c r="C13" s="9" t="str">
        <x:v>江苏省苏州中学校；本部</x:v>
      </x:c>
      <x:c r="D13" s="12" t="n">
        <x:v>701</x:v>
      </x:c>
      <x:c r="E13" s="12" t="n">
        <x:v>691</x:v>
      </x:c>
      <x:c r="F13" s="11" t="str">
        <x:v>提前批普通统招</x:v>
      </x:c>
      <x:c r="G13" s="9" t="str">
        <x:v>当年原表转载</x:v>
      </x:c>
      <x:c r="H13" s="9" t="str">
        <x:v>原公告未检索到；跨区与区域内数字均据当年转载复核。</x:v>
      </x:c>
      <x:c r="I13" s="9" t="str"/>
      <x:c r="J13" s="9" t="str">
        <x:v>https://suzhou.iwelife.cn/14321.html</x:v>
      </x:c>
      <x:c r="K13" s="9" t="str">
        <x:v>https://www.yidianedu.com/xuexiao/article?id=1606</x:v>
      </x:c>
    </x:row>
    <x:row r="14" ht="23" customHeight="1">
      <x:c r="A14" s="11" t="n">
        <x:v>2023</x:v>
      </x:c>
      <x:c r="B14" s="9" t="str">
        <x:v>星海（苏茜路）</x:v>
      </x:c>
      <x:c r="C14" s="9" t="str">
        <x:v>苏州工业园区星海实验中学；苏茜路校区</x:v>
      </x:c>
      <x:c r="D14" s="12" t="n">
        <x:v>694</x:v>
      </x:c>
      <x:c r="E14" s="12" t="n">
        <x:v>680</x:v>
      </x:c>
      <x:c r="F14" s="11" t="str">
        <x:v>第一批普通统招</x:v>
      </x:c>
      <x:c r="G14" s="9" t="str">
        <x:v>当年原表转载</x:v>
      </x:c>
      <x:c r="H14" s="9" t="str">
        <x:v>原公告未检索到；跨区与区域内数字均据当年转载复核。</x:v>
      </x:c>
      <x:c r="I14" s="9" t="str"/>
      <x:c r="J14" s="9" t="str">
        <x:v>https://suzhou.iwelife.cn/14321.html</x:v>
      </x:c>
      <x:c r="K14" s="9" t="str">
        <x:v>https://m.suzhou.bendibao.com/edu/115234.shtm</x:v>
      </x:c>
    </x:row>
    <x:row r="15" ht="23" customHeight="1">
      <x:c r="A15" s="11" t="n">
        <x:v>2023</x:v>
      </x:c>
      <x:c r="B15" s="9" t="str">
        <x:v>星海（沈浒路）</x:v>
      </x:c>
      <x:c r="C15" s="9" t="str">
        <x:v>苏州工业园区星海实验中学；沈浒路校区</x:v>
      </x:c>
      <x:c r="D15" s="12" t="n">
        <x:v>689</x:v>
      </x:c>
      <x:c r="E15" s="12" t="n">
        <x:v>664</x:v>
      </x:c>
      <x:c r="F15" s="11" t="str">
        <x:v>第一批普通统招</x:v>
      </x:c>
      <x:c r="G15" s="9" t="str">
        <x:v>当年原表转载</x:v>
      </x:c>
      <x:c r="H15" s="9" t="str">
        <x:v>原公告未检索到；跨区与区域内数字均据当年转载复核。</x:v>
      </x:c>
      <x:c r="I15" s="9" t="str"/>
      <x:c r="J15" s="9" t="str">
        <x:v>https://suzhou.iwelife.cn/14321.html</x:v>
      </x:c>
      <x:c r="K15" s="9" t="str">
        <x:v>https://m.suzhou.bendibao.com/edu/115234.shtm</x:v>
      </x:c>
    </x:row>
    <x:row r="16" ht="23" customHeight="1">
      <x:c r="A16" s="11" t="n">
        <x:v>2023</x:v>
      </x:c>
      <x:c r="B16" s="9" t="str">
        <x:v>苏州实验（本部）</x:v>
      </x:c>
      <x:c r="C16" s="9" t="str">
        <x:v>江苏省苏州实验中学；本部</x:v>
      </x:c>
      <x:c r="D16" s="12" t="n">
        <x:v>695</x:v>
      </x:c>
      <x:c r="E16" s="12" t="n">
        <x:v>676</x:v>
      </x:c>
      <x:c r="F16" s="11" t="str">
        <x:v>第一批普通统招</x:v>
      </x:c>
      <x:c r="G16" s="9" t="str">
        <x:v>当年原表转载</x:v>
      </x:c>
      <x:c r="H16" s="9" t="str">
        <x:v>原公告未检索到；跨区与区域内数字均据当年转载复核。</x:v>
      </x:c>
      <x:c r="I16" s="9" t="str"/>
      <x:c r="J16" s="9" t="str">
        <x:v>https://suzhou.iwelife.cn/14321.html</x:v>
      </x:c>
      <x:c r="K16" s="9" t="str">
        <x:v>https://m.suzhou.bendibao.com/edu/115234.shtm</x:v>
      </x:c>
    </x:row>
    <x:row r="17" ht="23" customHeight="1">
      <x:c r="A17" s="11" t="n">
        <x:v>2023</x:v>
      </x:c>
      <x:c r="B17" s="9" t="str">
        <x:v>西交大附中（方洲路）</x:v>
      </x:c>
      <x:c r="C17" s="9" t="str">
        <x:v>西安交通大学苏州附属中学；方洲路校区</x:v>
      </x:c>
      <x:c r="D17" s="12" t="n">
        <x:v>685</x:v>
      </x:c>
      <x:c r="E17" s="12" t="n">
        <x:v>667</x:v>
      </x:c>
      <x:c r="F17" s="11" t="str">
        <x:v>第一批普通统招</x:v>
      </x:c>
      <x:c r="G17" s="9" t="str">
        <x:v>当年原表转载</x:v>
      </x:c>
      <x:c r="H17" s="9" t="str">
        <x:v>原公告未检索到；跨区与区域内数字均据当年转载复核。</x:v>
      </x:c>
      <x:c r="I17" s="9" t="str"/>
      <x:c r="J17" s="9" t="str">
        <x:v>https://suzhou.iwelife.cn/14321.html</x:v>
      </x:c>
      <x:c r="K17" s="9" t="str">
        <x:v>https://m.suzhou.bendibao.com/edu/115234.shtm</x:v>
      </x:c>
    </x:row>
    <x:row r="18" ht="23" customHeight="1">
      <x:c r="A18" s="11" t="n">
        <x:v>2023</x:v>
      </x:c>
      <x:c r="B18" s="9" t="str">
        <x:v>苏州中学园区校</x:v>
      </x:c>
      <x:c r="C18" s="9" t="str">
        <x:v>江苏省苏州中学园区校；园区校</x:v>
      </x:c>
      <x:c r="D18" s="12" t="n">
        <x:v>697</x:v>
      </x:c>
      <x:c r="E18" s="12" t="n">
        <x:v>682</x:v>
      </x:c>
      <x:c r="F18" s="11" t="str">
        <x:v>第一批普通统招</x:v>
      </x:c>
      <x:c r="G18" s="9" t="str">
        <x:v>当年原表转载</x:v>
      </x:c>
      <x:c r="H18" s="9" t="str">
        <x:v>原公告未检索到；跨区与区域内数字均据当年转载复核。</x:v>
      </x:c>
      <x:c r="I18" s="9" t="str"/>
      <x:c r="J18" s="9" t="str">
        <x:v>https://suzhou.iwelife.cn/14321.html</x:v>
      </x:c>
      <x:c r="K18" s="9" t="str">
        <x:v>https://m.suzhou.bendibao.com/edu/115234.shtm</x:v>
      </x:c>
    </x:row>
    <x:row r="19" ht="23" customHeight="1">
      <x:c r="A19" s="11" t="n">
        <x:v>2023</x:v>
      </x:c>
      <x:c r="B19" s="9" t="str">
        <x:v>震泽中学（本部）</x:v>
      </x:c>
      <x:c r="C19" s="9" t="str">
        <x:v>江苏省震泽中学；本部</x:v>
      </x:c>
      <x:c r="D19" s="12" t="n">
        <x:v>680</x:v>
      </x:c>
      <x:c r="E19" s="12" t="n">
        <x:v>644</x:v>
      </x:c>
      <x:c r="F19" s="11" t="str">
        <x:v>第一批普通统招</x:v>
      </x:c>
      <x:c r="G19" s="9" t="str">
        <x:v>当年原表转载</x:v>
      </x:c>
      <x:c r="H19" s="9" t="str">
        <x:v>原公告未检索到；跨区与区域内数字均据当年转载复核。</x:v>
      </x:c>
      <x:c r="I19" s="9" t="str"/>
      <x:c r="J19" s="9" t="str">
        <x:v>https://suzhou.iwelife.cn/14321.html</x:v>
      </x:c>
      <x:c r="K19" s="9" t="str">
        <x:v>https://m.suzhou.bendibao.com/edu/115234.shtm</x:v>
      </x:c>
    </x:row>
    <x:row r="20" ht="23" customHeight="1">
      <x:c r="A20" s="11" t="n">
        <x:v>2023</x:v>
      </x:c>
      <x:c r="B20" s="9" t="str">
        <x:v>木渎高中</x:v>
      </x:c>
      <x:c r="C20" s="9" t="str">
        <x:v>江苏省木渎高级中学；本部</x:v>
      </x:c>
      <x:c r="D20" s="12" t="n">
        <x:v>685</x:v>
      </x:c>
      <x:c r="E20" s="12" t="n">
        <x:v>655</x:v>
      </x:c>
      <x:c r="F20" s="11" t="str">
        <x:v>提前批普通统招</x:v>
      </x:c>
      <x:c r="G20" s="9" t="str">
        <x:v>当年原表转载</x:v>
      </x:c>
      <x:c r="H20" s="9" t="str">
        <x:v>原公告未检索到；跨区与区域内数字均据当年转载复核。</x:v>
      </x:c>
      <x:c r="I20" s="9" t="str"/>
      <x:c r="J20" s="9" t="str">
        <x:v>https://suzhou.iwelife.cn/14321.html</x:v>
      </x:c>
      <x:c r="K20" s="9" t="str">
        <x:v>https://www.yidianedu.com/xuexiao/article?id=1606</x:v>
      </x:c>
    </x:row>
    <x:row r="21" ht="23" customHeight="1">
      <x:c r="A21" s="11" t="n">
        <x:v>2023</x:v>
      </x:c>
      <x:c r="B21" s="9" t="str">
        <x:v>苏大附中</x:v>
      </x:c>
      <x:c r="C21" s="9" t="str">
        <x:v>苏州大学附属中学；本部</x:v>
      </x:c>
      <x:c r="D21" s="12" t="n">
        <x:v>675</x:v>
      </x:c>
      <x:c r="E21" s="12" t="n">
        <x:v>652</x:v>
      </x:c>
      <x:c r="F21" s="11" t="str">
        <x:v>第一批普通统招</x:v>
      </x:c>
      <x:c r="G21" s="9" t="str">
        <x:v>当年原表转载</x:v>
      </x:c>
      <x:c r="H21" s="9" t="str">
        <x:v>原公告未检索到；跨区与区域内数字均据当年转载复核。</x:v>
      </x:c>
      <x:c r="I21" s="9" t="str"/>
      <x:c r="J21" s="9" t="str">
        <x:v>https://suzhou.iwelife.cn/14321.html</x:v>
      </x:c>
      <x:c r="K21" s="9" t="str">
        <x:v>https://m.suzhou.bendibao.com/edu/115234.shtm</x:v>
      </x:c>
    </x:row>
    <x:row r="22" ht="23" customHeight="1">
      <x:c r="A22" s="11" t="n">
        <x:v>2023</x:v>
      </x:c>
      <x:c r="B22" s="9" t="str">
        <x:v>新区一中（本部）</x:v>
      </x:c>
      <x:c r="C22" s="9" t="str">
        <x:v>苏州高新区第一中学；本部</x:v>
      </x:c>
      <x:c r="D22" s="12" t="n">
        <x:v>662</x:v>
      </x:c>
      <x:c r="E22" s="12" t="n">
        <x:v>642</x:v>
      </x:c>
      <x:c r="F22" s="11" t="str">
        <x:v>第一批普通统招</x:v>
      </x:c>
      <x:c r="G22" s="9" t="str">
        <x:v>当年原表转载</x:v>
      </x:c>
      <x:c r="H22" s="9" t="str">
        <x:v>原公告未检索到；跨区与区域内数字均据当年转载复核。</x:v>
      </x:c>
      <x:c r="I22" s="9" t="str"/>
      <x:c r="J22" s="9" t="str">
        <x:v>https://suzhou.iwelife.cn/14321.html</x:v>
      </x:c>
      <x:c r="K22" s="9" t="str">
        <x:v>https://m.suzhou.bendibao.com/edu/115234.shtm</x:v>
      </x:c>
    </x:row>
    <x:row r="23" ht="23" customHeight="1">
      <x:c r="A23" s="11" t="n">
        <x:v>2023</x:v>
      </x:c>
      <x:c r="B23" s="9" t="str">
        <x:v>苏州十中（本部）</x:v>
      </x:c>
      <x:c r="C23" s="9" t="str">
        <x:v>江苏省苏州第十中学校；本部</x:v>
      </x:c>
      <x:c r="D23" s="12" t="n">
        <x:v>665</x:v>
      </x:c>
      <x:c r="E23" s="12" t="n">
        <x:v>644</x:v>
      </x:c>
      <x:c r="F23" s="11" t="str">
        <x:v>第一批普通统招</x:v>
      </x:c>
      <x:c r="G23" s="9" t="str">
        <x:v>当年原表转载</x:v>
      </x:c>
      <x:c r="H23" s="9" t="str">
        <x:v>原公告未检索到；跨区与区域内数字均据当年转载复核。</x:v>
      </x:c>
      <x:c r="I23" s="9" t="str"/>
      <x:c r="J23" s="9" t="str">
        <x:v>https://suzhou.iwelife.cn/14321.html</x:v>
      </x:c>
      <x:c r="K23" s="9" t="str">
        <x:v>https://m.suzhou.bendibao.com/edu/115234.shtm</x:v>
      </x:c>
    </x:row>
    <x:row r="24" ht="23" customHeight="1">
      <x:c r="A24" s="11" t="n">
        <x:v>2024</x:v>
      </x:c>
      <x:c r="B24" s="9" t="str">
        <x:v>苏州中学（本部）</x:v>
      </x:c>
      <x:c r="C24" s="9" t="str">
        <x:v>江苏省苏州中学校</x:v>
      </x:c>
      <x:c r="D24" s="12" t="n">
        <x:v>697</x:v>
      </x:c>
      <x:c r="E24" s="12" t="n">
        <x:v>684</x:v>
      </x:c>
      <x:c r="F24" s="11" t="str">
        <x:v>提前录取批次</x:v>
      </x:c>
      <x:c r="G24" s="9" t="str">
        <x:v>官方原图</x:v>
      </x:c>
      <x:c r="H24" s="9" t="str"/>
      <x:c r="I24" s="9" t="str"/>
      <x:c r="J24" s="9" t="str">
        <x:v>https://main.szjyksy.com/Item/4131.aspx</x:v>
      </x:c>
      <x:c r="K24" s="9" t="str">
        <x:v>https://main.szjyksy.com/Item/4132.aspx</x:v>
      </x:c>
    </x:row>
    <x:row r="25" ht="23" customHeight="1">
      <x:c r="A25" s="11" t="n">
        <x:v>2024</x:v>
      </x:c>
      <x:c r="B25" s="9" t="str">
        <x:v>星海（苏茜路）</x:v>
      </x:c>
      <x:c r="C25" s="9" t="str">
        <x:v>苏州工业园区星海实验高级中学（苏茜路校区）</x:v>
      </x:c>
      <x:c r="D25" s="12" t="n">
        <x:v>688</x:v>
      </x:c>
      <x:c r="E25" s="12" t="n">
        <x:v>678</x:v>
      </x:c>
      <x:c r="F25" s="11" t="str">
        <x:v>第一批次四星级高中</x:v>
      </x:c>
      <x:c r="G25" s="9" t="str">
        <x:v>官方原图</x:v>
      </x:c>
      <x:c r="H25" s="9" t="str"/>
      <x:c r="I25" s="9" t="str"/>
      <x:c r="J25" s="9" t="str">
        <x:v>https://main.szjyksy.com/Item/4131.aspx</x:v>
      </x:c>
      <x:c r="K25" s="9" t="str">
        <x:v>https://www.suzhou.gov.cn/szsrmzf/mszx/202407/91b765b0555d4a149cab24b4a960f599.shtml</x:v>
      </x:c>
    </x:row>
    <x:row r="26" ht="23" customHeight="1">
      <x:c r="A26" s="11" t="n">
        <x:v>2024</x:v>
      </x:c>
      <x:c r="B26" s="9" t="str">
        <x:v>星海（沈浒路）</x:v>
      </x:c>
      <x:c r="C26" s="9" t="str">
        <x:v>苏州工业园区星海实验高级中学（沈浒路校区）</x:v>
      </x:c>
      <x:c r="D26" s="12" t="n">
        <x:v>683</x:v>
      </x:c>
      <x:c r="E26" s="12" t="n">
        <x:v>667</x:v>
      </x:c>
      <x:c r="F26" s="11" t="str">
        <x:v>第一批次四星级高中</x:v>
      </x:c>
      <x:c r="G26" s="9" t="str">
        <x:v>官方原图</x:v>
      </x:c>
      <x:c r="H26" s="9" t="str"/>
      <x:c r="I26" s="9" t="str"/>
      <x:c r="J26" s="9" t="str">
        <x:v>https://main.szjyksy.com/Item/4131.aspx</x:v>
      </x:c>
      <x:c r="K26" s="9" t="str">
        <x:v>https://www.suzhou.gov.cn/szsrmzf/mszx/202407/91b765b0555d4a149cab24b4a960f599.shtml</x:v>
      </x:c>
    </x:row>
    <x:row r="27" ht="23" customHeight="1">
      <x:c r="A27" s="11" t="n">
        <x:v>2024</x:v>
      </x:c>
      <x:c r="B27" s="9" t="str">
        <x:v>苏州实验（本部）</x:v>
      </x:c>
      <x:c r="C27" s="9" t="str">
        <x:v>江苏省苏州实验中学（本部）</x:v>
      </x:c>
      <x:c r="D27" s="12" t="n">
        <x:v>688</x:v>
      </x:c>
      <x:c r="E27" s="12" t="n">
        <x:v>674</x:v>
      </x:c>
      <x:c r="F27" s="11" t="str">
        <x:v>第一批次四星级高中</x:v>
      </x:c>
      <x:c r="G27" s="9" t="str">
        <x:v>官方原图</x:v>
      </x:c>
      <x:c r="H27" s="9" t="str"/>
      <x:c r="I27" s="9" t="str"/>
      <x:c r="J27" s="9" t="str">
        <x:v>https://main.szjyksy.com/Item/4131.aspx</x:v>
      </x:c>
      <x:c r="K27" s="9" t="str">
        <x:v>https://www.suzhou.gov.cn/szsrmzf/mszx/202407/91b765b0555d4a149cab24b4a960f599.shtml</x:v>
      </x:c>
    </x:row>
    <x:row r="28" ht="23" customHeight="1">
      <x:c r="A28" s="11" t="n">
        <x:v>2024</x:v>
      </x:c>
      <x:c r="B28" s="9" t="str">
        <x:v>西交大附中（方洲路）</x:v>
      </x:c>
      <x:c r="C28" s="9" t="str">
        <x:v>西安交通大学苏州附属中学（方洲路校区）</x:v>
      </x:c>
      <x:c r="D28" s="12" t="n">
        <x:v>678</x:v>
      </x:c>
      <x:c r="E28" s="12" t="n">
        <x:v>666</x:v>
      </x:c>
      <x:c r="F28" s="11" t="str">
        <x:v>第一批次四星级高中</x:v>
      </x:c>
      <x:c r="G28" s="9" t="str">
        <x:v>官方原图</x:v>
      </x:c>
      <x:c r="H28" s="9" t="str"/>
      <x:c r="I28" s="9" t="str"/>
      <x:c r="J28" s="9" t="str">
        <x:v>https://main.szjyksy.com/Item/4131.aspx</x:v>
      </x:c>
      <x:c r="K28" s="9" t="str">
        <x:v>https://www.suzhou.gov.cn/szsrmzf/mszx/202407/91b765b0555d4a149cab24b4a960f599.shtml</x:v>
      </x:c>
    </x:row>
    <x:row r="29" ht="23" customHeight="1">
      <x:c r="A29" s="11" t="n">
        <x:v>2024</x:v>
      </x:c>
      <x:c r="B29" s="9" t="str">
        <x:v>苏州中学园区校</x:v>
      </x:c>
      <x:c r="C29" s="9" t="str">
        <x:v>江苏省苏州中学园区校</x:v>
      </x:c>
      <x:c r="D29" s="12" t="n">
        <x:v>691</x:v>
      </x:c>
      <x:c r="E29" s="12" t="n">
        <x:v>681</x:v>
      </x:c>
      <x:c r="F29" s="11" t="str">
        <x:v>第一批次四星级高中</x:v>
      </x:c>
      <x:c r="G29" s="9" t="str">
        <x:v>官方原图</x:v>
      </x:c>
      <x:c r="H29" s="9" t="str"/>
      <x:c r="I29" s="9" t="str"/>
      <x:c r="J29" s="9" t="str">
        <x:v>https://main.szjyksy.com/Item/4131.aspx</x:v>
      </x:c>
      <x:c r="K29" s="9" t="str">
        <x:v>https://www.suzhou.gov.cn/szsrmzf/mszx/202407/91b765b0555d4a149cab24b4a960f599.shtml</x:v>
      </x:c>
    </x:row>
    <x:row r="30" ht="23" customHeight="1">
      <x:c r="A30" s="11" t="n">
        <x:v>2024</x:v>
      </x:c>
      <x:c r="B30" s="9" t="str">
        <x:v>震泽中学（本部）</x:v>
      </x:c>
      <x:c r="C30" s="9" t="str">
        <x:v>江苏省震泽中学</x:v>
      </x:c>
      <x:c r="D30" s="12" t="n">
        <x:v>673</x:v>
      </x:c>
      <x:c r="E30" s="12" t="n">
        <x:v>653</x:v>
      </x:c>
      <x:c r="F30" s="11" t="str">
        <x:v>第一批次四星级高中</x:v>
      </x:c>
      <x:c r="G30" s="9" t="str">
        <x:v>官方原图</x:v>
      </x:c>
      <x:c r="H30" s="9" t="str"/>
      <x:c r="I30" s="9" t="str"/>
      <x:c r="J30" s="9" t="str">
        <x:v>https://main.szjyksy.com/Item/4131.aspx</x:v>
      </x:c>
      <x:c r="K30" s="9" t="str">
        <x:v>https://www.suzhou.gov.cn/szsrmzf/mszx/202407/91b765b0555d4a149cab24b4a960f599.shtml</x:v>
      </x:c>
    </x:row>
    <x:row r="31" ht="23" customHeight="1">
      <x:c r="A31" s="11" t="n">
        <x:v>2024</x:v>
      </x:c>
      <x:c r="B31" s="9" t="str">
        <x:v>木渎高中</x:v>
      </x:c>
      <x:c r="C31" s="9" t="str">
        <x:v>江苏省木渎高级中学</x:v>
      </x:c>
      <x:c r="D31" s="12" t="n">
        <x:v>677</x:v>
      </x:c>
      <x:c r="E31" s="12" t="n">
        <x:v>658</x:v>
      </x:c>
      <x:c r="F31" s="11" t="str">
        <x:v>提前录取批次</x:v>
      </x:c>
      <x:c r="G31" s="9" t="str">
        <x:v>官方原图</x:v>
      </x:c>
      <x:c r="H31" s="9" t="str"/>
      <x:c r="I31" s="9" t="str"/>
      <x:c r="J31" s="9" t="str">
        <x:v>https://main.szjyksy.com/Item/4131.aspx</x:v>
      </x:c>
      <x:c r="K31" s="9" t="str">
        <x:v>https://main.szjyksy.com/Item/4132.aspx</x:v>
      </x:c>
    </x:row>
    <x:row r="32" ht="23" customHeight="1">
      <x:c r="A32" s="11" t="n">
        <x:v>2024</x:v>
      </x:c>
      <x:c r="B32" s="9" t="str">
        <x:v>苏大附中</x:v>
      </x:c>
      <x:c r="C32" s="9" t="str">
        <x:v>苏州大学附属中学</x:v>
      </x:c>
      <x:c r="D32" s="12" t="n">
        <x:v>666</x:v>
      </x:c>
      <x:c r="E32" s="12" t="n">
        <x:v>660</x:v>
      </x:c>
      <x:c r="F32" s="11" t="str">
        <x:v>第一批次四星级高中</x:v>
      </x:c>
      <x:c r="G32" s="9" t="str">
        <x:v>官方原图</x:v>
      </x:c>
      <x:c r="H32" s="9" t="str"/>
      <x:c r="I32" s="9" t="str"/>
      <x:c r="J32" s="9" t="str">
        <x:v>https://main.szjyksy.com/Item/4131.aspx</x:v>
      </x:c>
      <x:c r="K32" s="9" t="str">
        <x:v>https://www.suzhou.gov.cn/szsrmzf/mszx/202407/91b765b0555d4a149cab24b4a960f599.shtml</x:v>
      </x:c>
    </x:row>
    <x:row r="33" ht="23" customHeight="1">
      <x:c r="A33" s="11" t="n">
        <x:v>2024</x:v>
      </x:c>
      <x:c r="B33" s="9" t="str">
        <x:v>新区一中（本部）</x:v>
      </x:c>
      <x:c r="C33" s="9" t="str">
        <x:v>苏州高新区第一中学（本部）</x:v>
      </x:c>
      <x:c r="D33" s="12" t="n">
        <x:v>651</x:v>
      </x:c>
      <x:c r="E33" s="12" t="n">
        <x:v>650</x:v>
      </x:c>
      <x:c r="F33" s="11" t="str">
        <x:v>第一批次四星级高中</x:v>
      </x:c>
      <x:c r="G33" s="9" t="str">
        <x:v>官方原图</x:v>
      </x:c>
      <x:c r="H33" s="9" t="str"/>
      <x:c r="I33" s="9" t="str"/>
      <x:c r="J33" s="9" t="str">
        <x:v>https://main.szjyksy.com/Item/4131.aspx</x:v>
      </x:c>
      <x:c r="K33" s="9" t="str">
        <x:v>https://www.suzhou.gov.cn/szsrmzf/mszx/202407/91b765b0555d4a149cab24b4a960f599.shtml</x:v>
      </x:c>
    </x:row>
    <x:row r="34" ht="23" customHeight="1">
      <x:c r="A34" s="11" t="n">
        <x:v>2024</x:v>
      </x:c>
      <x:c r="B34" s="9" t="str">
        <x:v>苏州十中（本部）</x:v>
      </x:c>
      <x:c r="C34" s="9" t="str">
        <x:v>江苏省苏州第十中学校（本部）</x:v>
      </x:c>
      <x:c r="D34" s="12" t="n">
        <x:v>655</x:v>
      </x:c>
      <x:c r="E34" s="12" t="n">
        <x:v>651</x:v>
      </x:c>
      <x:c r="F34" s="11" t="str">
        <x:v>第一批次四星级高中</x:v>
      </x:c>
      <x:c r="G34" s="9" t="str">
        <x:v>官方原图</x:v>
      </x:c>
      <x:c r="H34" s="9" t="str"/>
      <x:c r="I34" s="9" t="str"/>
      <x:c r="J34" s="9" t="str">
        <x:v>https://main.szjyksy.com/Item/4131.aspx</x:v>
      </x:c>
      <x:c r="K34" s="9" t="str">
        <x:v>https://www.suzhou.gov.cn/szsrmzf/mszx/202407/91b765b0555d4a149cab24b4a960f599.shtml</x:v>
      </x:c>
    </x:row>
    <x:row r="35" ht="23" customHeight="1">
      <x:c r="A35" s="11" t="n">
        <x:v>2025</x:v>
      </x:c>
      <x:c r="B35" s="9" t="str">
        <x:v>苏州中学（本部）</x:v>
      </x:c>
      <x:c r="C35" s="9" t="str">
        <x:v>江苏省苏州中学校</x:v>
      </x:c>
      <x:c r="D35" s="12" t="n">
        <x:v>701</x:v>
      </x:c>
      <x:c r="E35" s="12" t="n">
        <x:v>693</x:v>
      </x:c>
      <x:c r="F35" s="11" t="str">
        <x:v>提前批普通统招</x:v>
      </x:c>
      <x:c r="G35" s="9" t="str">
        <x:v>官方原图</x:v>
      </x:c>
      <x:c r="H35" s="9" t="str"/>
      <x:c r="I35" s="9" t="str"/>
      <x:c r="J35" s="9" t="str">
        <x:v>https://main.szjyksy.com/Item/4199.aspx</x:v>
      </x:c>
      <x:c r="K35" s="9" t="str">
        <x:v>https://main.szjyksy.com/Item/4201.aspx</x:v>
      </x:c>
    </x:row>
    <x:row r="36" ht="23" customHeight="1">
      <x:c r="A36" s="11" t="n">
        <x:v>2025</x:v>
      </x:c>
      <x:c r="B36" s="9" t="str">
        <x:v>星海（苏茜路）</x:v>
      </x:c>
      <x:c r="C36" s="9" t="str">
        <x:v>苏州工业园区星海实验高级中学（苏茜路校区）</x:v>
      </x:c>
      <x:c r="D36" s="12" t="n">
        <x:v>696</x:v>
      </x:c>
      <x:c r="E36" s="12" t="n">
        <x:v>687</x:v>
      </x:c>
      <x:c r="F36" s="11" t="str">
        <x:v>第一批普通统招</x:v>
      </x:c>
      <x:c r="G36" s="9" t="str">
        <x:v>官方原图</x:v>
      </x:c>
      <x:c r="H36" s="9" t="str"/>
      <x:c r="I36" s="9" t="str"/>
      <x:c r="J36" s="9" t="str">
        <x:v>https://main.szjyksy.com/Item/4199.aspx</x:v>
      </x:c>
      <x:c r="K36" s="9" t="str">
        <x:v>https://main.szjyksy.com/Item/4202.aspx</x:v>
      </x:c>
    </x:row>
    <x:row r="37" ht="23" customHeight="1">
      <x:c r="A37" s="11" t="n">
        <x:v>2025</x:v>
      </x:c>
      <x:c r="B37" s="9" t="str">
        <x:v>星海（沈浒路）</x:v>
      </x:c>
      <x:c r="C37" s="9" t="str">
        <x:v>苏州工业园区星海实验高级中学（沈浒路校区）</x:v>
      </x:c>
      <x:c r="D37" s="12" t="n">
        <x:v>688</x:v>
      </x:c>
      <x:c r="E37" s="12" t="n">
        <x:v>678</x:v>
      </x:c>
      <x:c r="F37" s="11" t="str">
        <x:v>第一批普通统招</x:v>
      </x:c>
      <x:c r="G37" s="9" t="str">
        <x:v>官方原图</x:v>
      </x:c>
      <x:c r="H37" s="9" t="str"/>
      <x:c r="I37" s="9" t="str"/>
      <x:c r="J37" s="9" t="str">
        <x:v>https://main.szjyksy.com/Item/4199.aspx</x:v>
      </x:c>
      <x:c r="K37" s="9" t="str">
        <x:v>https://main.szjyksy.com/Item/4202.aspx</x:v>
      </x:c>
    </x:row>
    <x:row r="38" ht="23" customHeight="1">
      <x:c r="A38" s="11" t="n">
        <x:v>2025</x:v>
      </x:c>
      <x:c r="B38" s="9" t="str">
        <x:v>苏州实验（本部）</x:v>
      </x:c>
      <x:c r="C38" s="9" t="str">
        <x:v>江苏省苏州实验中学（本部）</x:v>
      </x:c>
      <x:c r="D38" s="12" t="n">
        <x:v>694</x:v>
      </x:c>
      <x:c r="E38" s="12" t="n">
        <x:v>681</x:v>
      </x:c>
      <x:c r="F38" s="11" t="str">
        <x:v>第一批普通统招</x:v>
      </x:c>
      <x:c r="G38" s="9" t="str">
        <x:v>官方原图</x:v>
      </x:c>
      <x:c r="H38" s="9" t="str"/>
      <x:c r="I38" s="9" t="str"/>
      <x:c r="J38" s="9" t="str">
        <x:v>https://main.szjyksy.com/Item/4199.aspx</x:v>
      </x:c>
      <x:c r="K38" s="9" t="str">
        <x:v>https://main.szjyksy.com/Item/4202.aspx</x:v>
      </x:c>
    </x:row>
    <x:row r="39" ht="23" customHeight="1">
      <x:c r="A39" s="11" t="n">
        <x:v>2025</x:v>
      </x:c>
      <x:c r="B39" s="9" t="str">
        <x:v>西交大附中（方洲路）</x:v>
      </x:c>
      <x:c r="C39" s="9" t="str">
        <x:v>西安交通大学苏州附属中学（方洲路校区）</x:v>
      </x:c>
      <x:c r="D39" s="12" t="n">
        <x:v>683</x:v>
      </x:c>
      <x:c r="E39" s="12" t="n">
        <x:v>674</x:v>
      </x:c>
      <x:c r="F39" s="11" t="str">
        <x:v>第一批普通统招</x:v>
      </x:c>
      <x:c r="G39" s="9" t="str">
        <x:v>官方原图</x:v>
      </x:c>
      <x:c r="H39" s="9" t="str"/>
      <x:c r="I39" s="9" t="str"/>
      <x:c r="J39" s="9" t="str">
        <x:v>https://main.szjyksy.com/Item/4199.aspx</x:v>
      </x:c>
      <x:c r="K39" s="9" t="str">
        <x:v>https://main.szjyksy.com/Item/4202.aspx</x:v>
      </x:c>
    </x:row>
    <x:row r="40" ht="23" customHeight="1">
      <x:c r="A40" s="11" t="n">
        <x:v>2025</x:v>
      </x:c>
      <x:c r="B40" s="9" t="str">
        <x:v>苏州中学园区校</x:v>
      </x:c>
      <x:c r="C40" s="9" t="str">
        <x:v>江苏省苏州中学园区校</x:v>
      </x:c>
      <x:c r="D40" s="12" t="n">
        <x:v>688</x:v>
      </x:c>
      <x:c r="E40" s="12" t="n">
        <x:v>683</x:v>
      </x:c>
      <x:c r="F40" s="11" t="str">
        <x:v>第一批普通统招</x:v>
      </x:c>
      <x:c r="G40" s="9" t="str">
        <x:v>官方原图</x:v>
      </x:c>
      <x:c r="H40" s="9" t="str"/>
      <x:c r="I40" s="9" t="str"/>
      <x:c r="J40" s="9" t="str">
        <x:v>https://main.szjyksy.com/Item/4199.aspx</x:v>
      </x:c>
      <x:c r="K40" s="9" t="str">
        <x:v>https://main.szjyksy.com/Item/4202.aspx</x:v>
      </x:c>
    </x:row>
    <x:row r="41" ht="23" customHeight="1">
      <x:c r="A41" s="11" t="n">
        <x:v>2025</x:v>
      </x:c>
      <x:c r="B41" s="9" t="str">
        <x:v>震泽中学（本部）</x:v>
      </x:c>
      <x:c r="C41" s="9" t="str">
        <x:v>江苏省震泽中学</x:v>
      </x:c>
      <x:c r="D41" s="12" t="n">
        <x:v>676</x:v>
      </x:c>
      <x:c r="E41" s="12" t="n">
        <x:v>655</x:v>
      </x:c>
      <x:c r="F41" s="11" t="str">
        <x:v>提前批普通统招</x:v>
      </x:c>
      <x:c r="G41" s="9" t="str">
        <x:v>官方原图</x:v>
      </x:c>
      <x:c r="H41" s="9" t="str"/>
      <x:c r="I41" s="9" t="str"/>
      <x:c r="J41" s="9" t="str">
        <x:v>https://main.szjyksy.com/Item/4199.aspx</x:v>
      </x:c>
      <x:c r="K41" s="9" t="str">
        <x:v>https://main.szjyksy.com/Item/4201.aspx</x:v>
      </x:c>
    </x:row>
    <x:row r="42" ht="23" customHeight="1">
      <x:c r="A42" s="11" t="n">
        <x:v>2025</x:v>
      </x:c>
      <x:c r="B42" s="9" t="str">
        <x:v>木渎高中</x:v>
      </x:c>
      <x:c r="C42" s="9" t="str">
        <x:v>江苏省木渎高级中学</x:v>
      </x:c>
      <x:c r="D42" s="12" t="n">
        <x:v>683</x:v>
      </x:c>
      <x:c r="E42" s="12" t="n">
        <x:v>664</x:v>
      </x:c>
      <x:c r="F42" s="11" t="str">
        <x:v>提前批普通统招</x:v>
      </x:c>
      <x:c r="G42" s="9" t="str">
        <x:v>官方原图</x:v>
      </x:c>
      <x:c r="H42" s="9" t="str"/>
      <x:c r="I42" s="9" t="str"/>
      <x:c r="J42" s="9" t="str">
        <x:v>https://main.szjyksy.com/Item/4199.aspx</x:v>
      </x:c>
      <x:c r="K42" s="9" t="str">
        <x:v>https://main.szjyksy.com/Item/4201.aspx</x:v>
      </x:c>
    </x:row>
    <x:row r="43" ht="23" customHeight="1">
      <x:c r="A43" s="11" t="n">
        <x:v>2025</x:v>
      </x:c>
      <x:c r="B43" s="9" t="str">
        <x:v>苏大附中</x:v>
      </x:c>
      <x:c r="C43" s="9" t="str">
        <x:v>苏州大学附属中学（东振路校区）</x:v>
      </x:c>
      <x:c r="D43" s="12" t="n">
        <x:v>675</x:v>
      </x:c>
      <x:c r="E43" s="12" t="n">
        <x:v>669</x:v>
      </x:c>
      <x:c r="F43" s="11" t="str">
        <x:v>第一批普通统招</x:v>
      </x:c>
      <x:c r="G43" s="9" t="str">
        <x:v>官方原图</x:v>
      </x:c>
      <x:c r="H43" s="9" t="str">
        <x:v>苏大附中按代码0606连续匹配，2025—2026名称明确为东振路校区。</x:v>
      </x:c>
      <x:c r="I43" s="9" t="str"/>
      <x:c r="J43" s="9" t="str">
        <x:v>https://main.szjyksy.com/Item/4199.aspx</x:v>
      </x:c>
      <x:c r="K43" s="9" t="str">
        <x:v>https://main.szjyksy.com/Item/4202.aspx</x:v>
      </x:c>
    </x:row>
    <x:row r="44" ht="23" customHeight="1">
      <x:c r="A44" s="11" t="n">
        <x:v>2025</x:v>
      </x:c>
      <x:c r="B44" s="9" t="str">
        <x:v>新区一中（本部）</x:v>
      </x:c>
      <x:c r="C44" s="9" t="str">
        <x:v>苏州高新区第一中学（本部）</x:v>
      </x:c>
      <x:c r="D44" s="12" t="n">
        <x:v>660</x:v>
      </x:c>
      <x:c r="E44" s="12" t="n">
        <x:v>658</x:v>
      </x:c>
      <x:c r="F44" s="11" t="str">
        <x:v>第一批普通统招</x:v>
      </x:c>
      <x:c r="G44" s="9" t="str">
        <x:v>官方原图</x:v>
      </x:c>
      <x:c r="H44" s="9" t="str"/>
      <x:c r="I44" s="9" t="str"/>
      <x:c r="J44" s="9" t="str">
        <x:v>https://main.szjyksy.com/Item/4199.aspx</x:v>
      </x:c>
      <x:c r="K44" s="9" t="str">
        <x:v>https://main.szjyksy.com/Item/4202.aspx</x:v>
      </x:c>
    </x:row>
    <x:row r="45" ht="23" customHeight="1">
      <x:c r="A45" s="11" t="n">
        <x:v>2025</x:v>
      </x:c>
      <x:c r="B45" s="9" t="str">
        <x:v>苏州十中（本部）</x:v>
      </x:c>
      <x:c r="C45" s="9" t="str">
        <x:v>江苏省苏州第十中学校（本部）</x:v>
      </x:c>
      <x:c r="D45" s="12" t="n">
        <x:v>663</x:v>
      </x:c>
      <x:c r="E45" s="12" t="n">
        <x:v>652</x:v>
      </x:c>
      <x:c r="F45" s="11" t="str">
        <x:v>第一批普通统招</x:v>
      </x:c>
      <x:c r="G45" s="9" t="str">
        <x:v>官方原图</x:v>
      </x:c>
      <x:c r="H45" s="9" t="str"/>
      <x:c r="I45" s="9" t="str"/>
      <x:c r="J45" s="9" t="str">
        <x:v>https://main.szjyksy.com/Item/4199.aspx</x:v>
      </x:c>
      <x:c r="K45" s="9" t="str">
        <x:v>https://main.szjyksy.com/Item/4202.aspx</x:v>
      </x:c>
    </x:row>
    <x:row r="46" ht="23" customHeight="1">
      <x:c r="A46" s="11" t="n">
        <x:v>2026</x:v>
      </x:c>
      <x:c r="B46" s="9" t="str">
        <x:v>苏州中学（本部）</x:v>
      </x:c>
      <x:c r="C46" s="9" t="str">
        <x:v>江苏省苏州中学校</x:v>
      </x:c>
      <x:c r="D46" s="12" t="n">
        <x:v>698</x:v>
      </x:c>
      <x:c r="E46" s="12" t="n">
        <x:v>690</x:v>
      </x:c>
      <x:c r="F46" s="11" t="str">
        <x:v>提前批普通统招</x:v>
      </x:c>
      <x:c r="G46" s="9" t="str">
        <x:v>官方原图</x:v>
      </x:c>
      <x:c r="H46" s="9" t="str"/>
      <x:c r="I46" s="9" t="str"/>
      <x:c r="J46" s="9" t="str">
        <x:v>https://main.szjyksy.com/Item/4276.aspx</x:v>
      </x:c>
      <x:c r="K46" s="9" t="str">
        <x:v>https://main.szjyksy.com/Item/4277.aspx</x:v>
      </x:c>
    </x:row>
    <x:row r="47" ht="23" customHeight="1">
      <x:c r="A47" s="11" t="n">
        <x:v>2026</x:v>
      </x:c>
      <x:c r="B47" s="9" t="str">
        <x:v>星海（苏茜路）</x:v>
      </x:c>
      <x:c r="C47" s="9" t="str">
        <x:v>苏州工业园区星海实验高级中学（苏茜路校区）</x:v>
      </x:c>
      <x:c r="D47" s="12" t="n">
        <x:v>697</x:v>
      </x:c>
      <x:c r="E47" s="12" t="n">
        <x:v>686</x:v>
      </x:c>
      <x:c r="F47" s="11" t="str">
        <x:v>第一批普通统招</x:v>
      </x:c>
      <x:c r="G47" s="9" t="str">
        <x:v>官方原图</x:v>
      </x:c>
      <x:c r="H47" s="9" t="str"/>
      <x:c r="I47" s="9" t="str"/>
      <x:c r="J47" s="9" t="str">
        <x:v>https://main.szjyksy.com/Item/4276.aspx</x:v>
      </x:c>
      <x:c r="K47" s="9" t="str">
        <x:v>https://main.szjyksy.com/Item/4283.aspx</x:v>
      </x:c>
    </x:row>
    <x:row r="48" ht="23" customHeight="1">
      <x:c r="A48" s="11" t="n">
        <x:v>2026</x:v>
      </x:c>
      <x:c r="B48" s="9" t="str">
        <x:v>星海（沈浒路）</x:v>
      </x:c>
      <x:c r="C48" s="9" t="str">
        <x:v>苏州工业园区星海实验高级中学（沈浒路校区）</x:v>
      </x:c>
      <x:c r="D48" s="12" t="n">
        <x:v>690</x:v>
      </x:c>
      <x:c r="E48" s="12" t="n">
        <x:v>679</x:v>
      </x:c>
      <x:c r="F48" s="11" t="str">
        <x:v>第一批普通统招</x:v>
      </x:c>
      <x:c r="G48" s="9" t="str">
        <x:v>官方原图</x:v>
      </x:c>
      <x:c r="H48" s="9" t="str"/>
      <x:c r="I48" s="9" t="str"/>
      <x:c r="J48" s="9" t="str">
        <x:v>https://main.szjyksy.com/Item/4276.aspx</x:v>
      </x:c>
      <x:c r="K48" s="9" t="str">
        <x:v>https://main.szjyksy.com/Item/4283.aspx</x:v>
      </x:c>
    </x:row>
    <x:row r="49" ht="23" customHeight="1">
      <x:c r="A49" s="11" t="n">
        <x:v>2026</x:v>
      </x:c>
      <x:c r="B49" s="9" t="str">
        <x:v>苏州实验（本部）</x:v>
      </x:c>
      <x:c r="C49" s="9" t="str">
        <x:v>江苏省苏州实验中学（本部）</x:v>
      </x:c>
      <x:c r="D49" s="12" t="n">
        <x:v>693</x:v>
      </x:c>
      <x:c r="E49" s="12" t="n">
        <x:v>681</x:v>
      </x:c>
      <x:c r="F49" s="11" t="str">
        <x:v>第一批普通统招</x:v>
      </x:c>
      <x:c r="G49" s="9" t="str">
        <x:v>官方原图</x:v>
      </x:c>
      <x:c r="H49" s="9" t="str"/>
      <x:c r="I49" s="9" t="str"/>
      <x:c r="J49" s="9" t="str">
        <x:v>https://main.szjyksy.com/Item/4276.aspx</x:v>
      </x:c>
      <x:c r="K49" s="9" t="str">
        <x:v>https://main.szjyksy.com/Item/4283.aspx</x:v>
      </x:c>
    </x:row>
    <x:row r="50" ht="23" customHeight="1">
      <x:c r="A50" s="11" t="n">
        <x:v>2026</x:v>
      </x:c>
      <x:c r="B50" s="9" t="str">
        <x:v>西交大附中（方洲路）</x:v>
      </x:c>
      <x:c r="C50" s="9" t="str">
        <x:v>西安交通大学苏州附属中学（方洲路校区）</x:v>
      </x:c>
      <x:c r="D50" s="12" t="n">
        <x:v>684</x:v>
      </x:c>
      <x:c r="E50" s="12" t="n">
        <x:v>675</x:v>
      </x:c>
      <x:c r="F50" s="11" t="str">
        <x:v>第一批普通统招</x:v>
      </x:c>
      <x:c r="G50" s="9" t="str">
        <x:v>官方原图</x:v>
      </x:c>
      <x:c r="H50" s="9" t="str"/>
      <x:c r="I50" s="9" t="str"/>
      <x:c r="J50" s="9" t="str">
        <x:v>https://main.szjyksy.com/Item/4276.aspx</x:v>
      </x:c>
      <x:c r="K50" s="9" t="str">
        <x:v>https://main.szjyksy.com/Item/4283.aspx</x:v>
      </x:c>
    </x:row>
    <x:row r="51" ht="23" customHeight="1">
      <x:c r="A51" s="11" t="n">
        <x:v>2026</x:v>
      </x:c>
      <x:c r="B51" s="9" t="str">
        <x:v>苏州中学园区校</x:v>
      </x:c>
      <x:c r="C51" s="9" t="str">
        <x:v>江苏省苏州中学园区校</x:v>
      </x:c>
      <x:c r="D51" s="12" t="n">
        <x:v>691</x:v>
      </x:c>
      <x:c r="E51" s="12" t="n">
        <x:v>682</x:v>
      </x:c>
      <x:c r="F51" s="11" t="str">
        <x:v>第一批普通统招</x:v>
      </x:c>
      <x:c r="G51" s="9" t="str">
        <x:v>官方原图</x:v>
      </x:c>
      <x:c r="H51" s="9" t="str"/>
      <x:c r="I51" s="9" t="str"/>
      <x:c r="J51" s="9" t="str">
        <x:v>https://main.szjyksy.com/Item/4276.aspx</x:v>
      </x:c>
      <x:c r="K51" s="9" t="str">
        <x:v>https://main.szjyksy.com/Item/4283.aspx</x:v>
      </x:c>
    </x:row>
    <x:row r="52" ht="23" customHeight="1">
      <x:c r="A52" s="11" t="n">
        <x:v>2026</x:v>
      </x:c>
      <x:c r="B52" s="9" t="str">
        <x:v>震泽中学（本部）</x:v>
      </x:c>
      <x:c r="C52" s="9" t="str">
        <x:v>江苏省震泽中学</x:v>
      </x:c>
      <x:c r="D52" s="12" t="n">
        <x:v>679</x:v>
      </x:c>
      <x:c r="E52" s="12" t="n">
        <x:v>665</x:v>
      </x:c>
      <x:c r="F52" s="11" t="str">
        <x:v>提前批普通统招</x:v>
      </x:c>
      <x:c r="G52" s="9" t="str">
        <x:v>官方原图</x:v>
      </x:c>
      <x:c r="H52" s="9" t="str"/>
      <x:c r="I52" s="9" t="str"/>
      <x:c r="J52" s="9" t="str">
        <x:v>https://main.szjyksy.com/Item/4276.aspx</x:v>
      </x:c>
      <x:c r="K52" s="9" t="str">
        <x:v>https://main.szjyksy.com/Item/4277.aspx</x:v>
      </x:c>
    </x:row>
    <x:row r="53" ht="23" customHeight="1">
      <x:c r="A53" s="11" t="n">
        <x:v>2026</x:v>
      </x:c>
      <x:c r="B53" s="9" t="str">
        <x:v>木渎高中</x:v>
      </x:c>
      <x:c r="C53" s="9" t="str">
        <x:v>江苏省木渎高级中学</x:v>
      </x:c>
      <x:c r="D53" s="12" t="n">
        <x:v>679</x:v>
      </x:c>
      <x:c r="E53" s="12" t="n">
        <x:v>665</x:v>
      </x:c>
      <x:c r="F53" s="11" t="str">
        <x:v>提前批普通统招</x:v>
      </x:c>
      <x:c r="G53" s="9" t="str">
        <x:v>官方原图</x:v>
      </x:c>
      <x:c r="H53" s="9" t="str"/>
      <x:c r="I53" s="9" t="str"/>
      <x:c r="J53" s="9" t="str">
        <x:v>https://main.szjyksy.com/Item/4276.aspx</x:v>
      </x:c>
      <x:c r="K53" s="9" t="str">
        <x:v>https://main.szjyksy.com/Item/4277.aspx</x:v>
      </x:c>
    </x:row>
    <x:row r="54" ht="23" customHeight="1">
      <x:c r="A54" s="11" t="n">
        <x:v>2026</x:v>
      </x:c>
      <x:c r="B54" s="9" t="str">
        <x:v>苏大附中</x:v>
      </x:c>
      <x:c r="C54" s="9" t="str">
        <x:v>苏州大学附属中学（东振路校区）</x:v>
      </x:c>
      <x:c r="D54" s="12" t="n">
        <x:v>675</x:v>
      </x:c>
      <x:c r="E54" s="12" t="n">
        <x:v>668</x:v>
      </x:c>
      <x:c r="F54" s="11" t="str">
        <x:v>第一批普通统招</x:v>
      </x:c>
      <x:c r="G54" s="9" t="str">
        <x:v>官方原图</x:v>
      </x:c>
      <x:c r="H54" s="9" t="str">
        <x:v>苏大附中按代码0606连续匹配，2025—2026名称明确为东振路校区。</x:v>
      </x:c>
      <x:c r="I54" s="9" t="str"/>
      <x:c r="J54" s="9" t="str">
        <x:v>https://main.szjyksy.com/Item/4276.aspx</x:v>
      </x:c>
      <x:c r="K54" s="9" t="str">
        <x:v>https://main.szjyksy.com/Item/4283.aspx</x:v>
      </x:c>
    </x:row>
    <x:row r="55" ht="23" customHeight="1">
      <x:c r="A55" s="11" t="n">
        <x:v>2026</x:v>
      </x:c>
      <x:c r="B55" s="9" t="str">
        <x:v>新区一中（本部）</x:v>
      </x:c>
      <x:c r="C55" s="9" t="str">
        <x:v>苏州高新区第一中学（本部）</x:v>
      </x:c>
      <x:c r="D55" s="12" t="n">
        <x:v>663</x:v>
      </x:c>
      <x:c r="E55" s="12" t="n">
        <x:v>657</x:v>
      </x:c>
      <x:c r="F55" s="11" t="str">
        <x:v>第一批普通统招</x:v>
      </x:c>
      <x:c r="G55" s="9" t="str">
        <x:v>官方原图</x:v>
      </x:c>
      <x:c r="H55" s="9" t="str"/>
      <x:c r="I55" s="9" t="str"/>
      <x:c r="J55" s="9" t="str">
        <x:v>https://main.szjyksy.com/Item/4276.aspx</x:v>
      </x:c>
      <x:c r="K55" s="9" t="str">
        <x:v>https://main.szjyksy.com/Item/4283.aspx</x:v>
      </x:c>
    </x:row>
    <x:row r="56" ht="23" customHeight="1">
      <x:c r="A56" s="11" t="n">
        <x:v>2026</x:v>
      </x:c>
      <x:c r="B56" s="9" t="str">
        <x:v>苏州十中（本部）</x:v>
      </x:c>
      <x:c r="C56" s="9" t="str">
        <x:v>江苏省苏州第十中学校（本部）</x:v>
      </x:c>
      <x:c r="D56" s="12" t="n">
        <x:v>660</x:v>
      </x:c>
      <x:c r="E56" s="12" t="n">
        <x:v>650</x:v>
      </x:c>
      <x:c r="F56" s="11" t="str">
        <x:v>第一批普通统招</x:v>
      </x:c>
      <x:c r="G56" s="9" t="str">
        <x:v>官方原图</x:v>
      </x:c>
      <x:c r="H56" s="9" t="str"/>
      <x:c r="I56" s="9" t="str"/>
      <x:c r="J56" s="9" t="str">
        <x:v>https://main.szjyksy.com/Item/4276.aspx</x:v>
      </x:c>
      <x:c r="K56" s="9" t="str">
        <x:v>https://main.szjyksy.com/Item/4283.aspx</x:v>
      </x:c>
    </x:row>
  </x:sheetData>
  <x:conditionalFormatting sqref="G2:G56">
    <x:cfRule type="containsText" dxfId="0" priority="1" operator="containsText" text="转载"/>
  </x:conditionalFormatting>
  <x:pageMargins left="0.7" right="0.7" top="0.75" bottom="0.75" header="0.3" footer="0.3"/>
</x:worksheet>
</file>